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COTAÇÃO" sheetId="2" state="visible" r:id="rId2"/>
    <sheet name="RESUMO" sheetId="3" state="visible" r:id="rId3"/>
    <sheet name="ESPECIFICAÇÕES" sheetId="4" state="visible" r:id="rId4"/>
    <sheet name="FORNECEDORES" sheetId="5" state="visible" r:id="rId5"/>
    <sheet name="REFERÊNCIAS" sheetId="6" state="visible" r:id="rId6"/>
    <sheet name="FORA DO ESCOPO" sheetId="7" state="visible" r:id="rId7"/>
  </sheets>
  <definedNames>
    <definedName name="_xlnm._FilterDatabase" localSheetId="1" hidden="1">'COTAÇÃO'!$A$3:$V$79</definedName>
    <definedName name="_xlnm._FilterDatabase" localSheetId="3" hidden="1">'ESPECIFICAÇÕES'!$A$3:$I$79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-#,##0.00;&quot;—&quot;"/>
    <numFmt numFmtId="165" formatCode="0.0%;[Red]-0.0%;&quot;—&quot;"/>
    <numFmt numFmtId="166" formatCode="R$ #,##0.00;[Red]-R$ #,##0.00;&quot;—&quot;"/>
    <numFmt numFmtId="167" formatCode="0.00&quot;x&quot;"/>
    <numFmt numFmtId="168" formatCode="R$ #,##0;[Red]-R$ #,##0;&quot;—&quot;"/>
    <numFmt numFmtId="169" formatCode="DD/MM/YYYY"/>
  </numFmts>
  <fonts count="12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1F3864"/>
      <sz val="11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  <font>
      <name val="Arial"/>
      <color rgb="000000FF"/>
      <sz val="9"/>
    </font>
    <font>
      <name val="Arial"/>
      <b val="1"/>
      <color rgb="001F3864"/>
      <sz val="10"/>
    </font>
    <font>
      <name val="Arial"/>
      <b val="1"/>
      <sz val="10"/>
    </font>
    <font>
      <name val="Arial"/>
      <b val="1"/>
      <color rgb="001F3864"/>
      <sz val="9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10" fillId="0" borderId="0" pivotButton="0" quotePrefix="0" xfId="0"/>
    <xf numFmtId="165" fontId="4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vertical="top" wrapText="1"/>
    </xf>
    <xf numFmtId="164" fontId="5" fillId="3" borderId="1" pivotButton="0" quotePrefix="0" xfId="0"/>
    <xf numFmtId="165" fontId="7" fillId="4" borderId="1" pivotButton="0" quotePrefix="0" xfId="0"/>
    <xf numFmtId="164" fontId="5" fillId="0" borderId="1" pivotButton="0" quotePrefix="0" xfId="0"/>
    <xf numFmtId="166" fontId="5" fillId="3" borderId="1" pivotButton="0" quotePrefix="0" xfId="0"/>
    <xf numFmtId="166" fontId="5" fillId="0" borderId="1" pivotButton="0" quotePrefix="0" xfId="0"/>
    <xf numFmtId="166" fontId="7" fillId="4" borderId="1" pivotButton="0" quotePrefix="0" xfId="0"/>
    <xf numFmtId="0" fontId="5" fillId="0" borderId="1" applyAlignment="1" pivotButton="0" quotePrefix="0" xfId="0">
      <alignment horizontal="center" vertical="center"/>
    </xf>
    <xf numFmtId="166" fontId="4" fillId="0" borderId="1" pivotButton="0" quotePrefix="0" xfId="0"/>
    <xf numFmtId="167" fontId="5" fillId="0" borderId="1" pivotButton="0" quotePrefix="0" xfId="0"/>
    <xf numFmtId="165" fontId="5" fillId="0" borderId="1" pivotButton="0" quotePrefix="0" xfId="0"/>
    <xf numFmtId="0" fontId="0" fillId="5" borderId="1" pivotButton="0" quotePrefix="0" xfId="0"/>
    <xf numFmtId="0" fontId="8" fillId="5" borderId="1" pivotButton="0" quotePrefix="0" xfId="0"/>
    <xf numFmtId="168" fontId="9" fillId="5" borderId="1" pivotButton="0" quotePrefix="0" xfId="0"/>
    <xf numFmtId="165" fontId="9" fillId="5" borderId="1" pivotButton="0" quotePrefix="0" xfId="0"/>
    <xf numFmtId="0" fontId="6" fillId="2" borderId="1" applyAlignment="1" pivotButton="0" quotePrefix="0" xfId="0">
      <alignment horizontal="center" vertical="center"/>
    </xf>
    <xf numFmtId="168" fontId="5" fillId="0" borderId="1" pivotButton="0" quotePrefix="0" xfId="0"/>
    <xf numFmtId="0" fontId="4" fillId="5" borderId="1" applyAlignment="1" pivotButton="0" quotePrefix="0" xfId="0">
      <alignment horizontal="center" vertical="center"/>
    </xf>
    <xf numFmtId="168" fontId="11" fillId="5" borderId="1" pivotButton="0" quotePrefix="0" xfId="0"/>
    <xf numFmtId="165" fontId="4" fillId="5" borderId="1" pivotButton="0" quotePrefix="0" xfId="0"/>
    <xf numFmtId="164" fontId="5" fillId="0" borderId="0" pivotButton="0" quotePrefix="0" xfId="0"/>
    <xf numFmtId="0" fontId="2" fillId="0" borderId="0" applyAlignment="1" pivotButton="0" quotePrefix="0" xfId="0">
      <alignment vertical="top" wrapText="1"/>
    </xf>
    <xf numFmtId="168" fontId="5" fillId="0" borderId="0" pivotButton="0" quotePrefix="0" xfId="0"/>
    <xf numFmtId="165" fontId="7" fillId="4" borderId="0" pivotButton="0" quotePrefix="0" xfId="0"/>
    <xf numFmtId="166" fontId="5" fillId="0" borderId="0" pivotButton="0" quotePrefix="0" xfId="0"/>
    <xf numFmtId="0" fontId="4" fillId="6" borderId="1" pivotButton="0" quotePrefix="0" xfId="0"/>
    <xf numFmtId="0" fontId="7" fillId="4" borderId="1" pivotButton="0" quotePrefix="0" xfId="0"/>
    <xf numFmtId="169" fontId="7" fillId="4" borderId="1" pivotButton="0" quotePrefix="0" xfId="0"/>
    <xf numFmtId="165" fontId="5" fillId="0" borderId="0" pivotButton="0" quotePrefix="0" xfId="0"/>
    <xf numFmtId="167" fontId="7" fillId="4" borderId="0" pivotButton="0" quotePrefix="0" xfId="0"/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CE4E4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Modelo Porto Real</author>
  </authors>
  <commentList>
    <comment ref="C4" authorId="0" shapeId="0">
      <text>
        <t>perfil formado a frio em barra de 6.000 mm; aco ZAR 230, fy 230 MPa, fu 310 MPa; revestimento Z275; massa BRUTA, ja com a perda de corte (12.8 %)
NORMAS: NBR 14762, NBR 15253, NBR 7008</t>
      </text>
    </comment>
    <comment ref="C5" authorId="0" shapeId="0">
      <text>
        <t>Painel sandwich PIR; chapa 1000 x 12000 mm; espessura 75 mm
NORMAS: NBR 16373</t>
      </text>
    </comment>
    <comment ref="C6" authorId="0" shapeId="0">
      <text>
        <t>Chapa de gesso; chapa 1200 x 2400 mm; espessura 12.5 mm
NORMAS: NBR 14715</t>
      </text>
    </comment>
    <comment ref="C7" authorId="0" shapeId="0">
      <text>
        <t>Placa cimenticia; chapa 1200 x 2400 mm; espessura 10 mm
NORMAS: NBR 15498</t>
      </text>
    </comment>
    <comment ref="C8" authorId="0" shapeId="0">
      <text>
        <t>La de rocha; chapa 1200 x 25000 mm; espessura 50 mm
NORMAS: NBR 11722</t>
      </text>
    </comment>
    <comment ref="C9" authorId="0" shapeId="0">
      <text>
        <t>chapa dobrada / manta conforme descricao
NORMAS: NBR 10844, NBR 9575</t>
      </text>
    </comment>
    <comment ref="C10" authorId="0" shapeId="0">
      <text>
        <t>XPS; chapa 600 x 1250 mm; espessura 20 mm
NORMAS: NBR 11752</t>
      </text>
    </comment>
    <comment ref="C11" authorId="0" shapeId="0">
      <text>
        <t>OSB estrutural; chapa 1220 x 2440 mm; espessura 18 mm
NORMAS: NBR 14810 / EN 300</t>
      </text>
    </comment>
    <comment ref="C12" authorId="0" shapeId="0">
      <text>
        <t>cantoneira de canto e arremate
NORMAS: NBR 15758</t>
      </text>
    </comment>
    <comment ref="C13" authorId="0" shapeId="0">
      <text>
        <t>massa para junta, aplicacao em 3 demaos
NORMAS: NBR 15758
LACUNA: rendimento da embalagem (metros por rolo, metros por balde): o modelo mede COMPRIMENTO de junta, nao embalagem</t>
      </text>
    </comment>
    <comment ref="C14" authorId="0" shapeId="0">
      <text>
        <t>La de vidro; chapa 1200 x 25000 mm; espessura 48 mm
NORMAS: NBR 11722</t>
      </text>
    </comment>
    <comment ref="C15" authorId="0" shapeId="0">
      <text>
        <t>Chapa de gesso RU; chapa 1200 x 2400 mm; espessura 12.5 mm
NORMAS: NBR 14715</t>
      </text>
    </comment>
    <comment ref="C16" authorId="0" shapeId="0">
      <text>
        <t>tipos em uso: AB 4,8x19 ponta broca, AB 5,5x25 ponta broca
NORMAS: NBR 14762 item 8.4</t>
      </text>
    </comment>
    <comment ref="C17" authorId="0" shapeId="0">
      <text>
        <t>La de vidro; chapa 1200 x 25000 mm; espessura 50 mm
NORMAS: NBR 11722</t>
      </text>
    </comment>
    <comment ref="C18" authorId="0" shapeId="0">
      <text>
        <t>fita de papel microperfurada para junta
NORMAS: NBR 15758
LACUNA: rendimento da embalagem (metros por rolo, metros por balde): o modelo mede COMPRIMENTO de junta, nao embalagem</t>
      </text>
    </comment>
    <comment ref="C19" authorId="0" shapeId="0">
      <text>
        <t>chapa dobrada / manta conforme descricao
NORMAS: NBR 10844, NBR 9575</t>
      </text>
    </comment>
    <comment ref="C20" authorId="0" shapeId="0">
      <text>
        <t>chapa dobrada / manta conforme descricao
NORMAS: NBR 10844, NBR 9575</t>
      </text>
    </comment>
    <comment ref="C23" authorId="0" shapeId="0">
      <text>
        <t>chapa dobrada / manta conforme descricao
NORMAS: NBR 10844, NBR 9575</t>
      </text>
    </comment>
    <comment ref="C24" authorId="0" shapeId="0">
      <text>
        <t>chapa dobrada / manta conforme descricao
NORMAS: NBR 10844, NBR 9575</t>
      </text>
    </comment>
    <comment ref="C26" authorId="0" shapeId="0">
      <text>
        <t>caixilho de aluminio com desempenho ENSAIADO do sistema; vidro conforme quadro, 59.64 m2
NORMAS: NBR 10821
LACUNA: classificacao de estanqueidade a agua, ao ar e a carga de vento — exige relatorio de ensaio, nunca valor</t>
      </text>
    </comment>
    <comment ref="C27" authorId="0" shapeId="0">
      <text>
        <t>caixilho de aluminio com desempenho ENSAIADO do sistema; vidro conforme quadro, 59.64 m2
NORMAS: NBR 10821
LACUNA: classificacao de estanqueidade a agua, ao ar e a carga de vento — exige relatorio de ensaio, nunca valor</t>
      </text>
    </comment>
    <comment ref="C28" authorId="0" shapeId="0">
      <text>
        <t>ferragem de esquadria conforme quadro de vaos; acabamento e sentido de abertura por vao
NORMAS: NBR 10821
LACUNA: linha e fabricante da ferragem: a norma de desempenho e do SISTEMA esquadria + ferragem, e cotar ferragem solta nao garante o ensaio</t>
      </text>
    </comment>
    <comment ref="C29" authorId="0" shapeId="0">
      <text>
        <t>ferragem de esquadria conforme quadro de vaos; acabamento e sentido de abertura por vao
NORMAS: NBR 10821
LACUNA: linha e fabricante da ferragem: a norma de desempenho e do SISTEMA esquadria + ferragem, e cotar ferragem solta nao garante o ensaio</t>
      </text>
    </comment>
    <comment ref="C30" authorId="0" shapeId="0">
      <text>
        <t>ferragem de esquadria conforme quadro de vaos; acabamento e sentido de abertura por vao
NORMAS: NBR 10821
LACUNA: linha e fabricante da ferragem: a norma de desempenho e do SISTEMA esquadria + ferragem, e cotar ferragem solta nao garante o ensaio</t>
      </text>
    </comment>
    <comment ref="C31" authorId="0" shapeId="0">
      <text>
        <t>ferragem de esquadria conforme quadro de vaos; acabamento e sentido de abertura por vao
NORMAS: NBR 10821
LACUNA: linha e fabricante da ferragem: a norma de desempenho e do SISTEMA esquadria + ferragem, e cotar ferragem solta nao garante o ensaio</t>
      </text>
    </comment>
    <comment ref="C32" authorId="0" shapeId="0">
      <text>
        <t>ferragem de esquadria conforme quadro de vaos; acabamento e sentido de abertura por vao
NORMAS: NBR 10821
LACUNA: linha e fabricante da ferragem: a norma de desempenho e do SISTEMA esquadria + ferragem, e cotar ferragem solta nao garante o ensaio</t>
      </text>
    </comment>
    <comment ref="C33" authorId="0" shapeId="0">
      <text>
        <t>ferragem de esquadria conforme quadro de vaos; acabamento e sentido de abertura por vao
NORMAS: NBR 10821
LACUNA: linha e fabricante da ferragem: a norma de desempenho e do SISTEMA esquadria + ferragem, e cotar ferragem solta nao garante o ensaio</t>
      </text>
    </comment>
    <comment ref="C34" authorId="0" shapeId="0">
      <text>
        <t>fck 30 MPa, aco CA-50, tela Q196; (H) ate a sondagem: a especificacao muda com o laudo
NORMAS: NBR 12655, NBR 6118, NBR 6122</t>
      </text>
    </comment>
    <comment ref="C35" authorId="0" shapeId="0">
      <text>
        <t>fck 30 MPa, aco CA-50, tela Q196; (H) ate a sondagem: a especificacao muda com o laudo
NORMAS: NBR 12655, NBR 6118, NBR 6122</t>
      </text>
    </comment>
    <comment ref="C36" authorId="0" shapeId="0">
      <text>
        <t>fck 30 MPa, aco CA-50, tela Q196; (H) ate a sondagem: a especificacao muda com o laudo
NORMAS: NBR 12655, NBR 6118, NBR 6122</t>
      </text>
    </comment>
    <comment ref="C37" authorId="0" shapeId="0">
      <text>
        <t>fck 30 MPa, aco CA-50, tela Q196; (H) ate a sondagem: a especificacao muda com o laudo
NORMAS: NBR 12655, NBR 6118, NBR 6122</t>
      </text>
    </comment>
    <comment ref="C38" authorId="0" shapeId="0">
      <text>
        <t>fck 30 MPa, aco CA-50, tela Q196; (H) ate a sondagem: a especificacao muda com o laudo
NORMAS: NBR 12655, NBR 6118, NBR 6122</t>
      </text>
    </comment>
    <comment ref="C39" authorId="0" shapeId="0">
      <text>
        <t>fck 30 MPa, aco CA-50, tela Q196; (H) ate a sondagem: a especificacao muda com o laudo
NORMAS: NBR 12655, NBR 6118, NBR 6122</t>
      </text>
    </comment>
    <comment ref="C40" authorId="0" shapeId="0">
      <text>
        <t>fck 30 MPa, aco CA-50, tela Q196; (H) ate a sondagem: a especificacao muda com o laudo
NORMAS: NBR 12655, NBR 6118, NBR 6122</t>
      </text>
    </comment>
    <comment ref="C41" authorId="0" shapeId="0">
      <text>
        <t>fck 30 MPa, aco CA-50, tela Q196; (H) ate a sondagem: a especificacao muda com o laudo
NORMAS: NBR 12655, NBR 6118, NBR 6122</t>
      </text>
    </comment>
    <comment ref="C42" authorId="0" shapeId="0">
      <text>
        <t>fck 30 MPa, aco CA-50, tela Q196; (H) ate a sondagem: a especificacao muda com o laudo
NORMAS: NBR 12655, NBR 6118, NBR 6122</t>
      </text>
    </comment>
    <comment ref="C43" authorId="0" shapeId="0">
      <text>
        <t>fck 30 MPa, aco CA-50, tela Q196; (H) ate a sondagem: a especificacao muda com o laudo
NORMAS: NBR 12655, NBR 6118, NBR 6122</t>
      </text>
    </comment>
    <comment ref="C44" authorId="0" shapeId="0">
      <text>
        <t>fck 30 MPa, aco CA-50, tela Q196; (H) ate a sondagem: a especificacao muda com o laudo
NORMAS: NBR 12655, NBR 6118, NBR 6122</t>
      </text>
    </comment>
    <comment ref="C45" authorId="0" shapeId="0">
      <text>
        <t>tubo, conexao ou condutor conforme descricao
NORMAS: NBR 5410, NBR 5626, NBR 8160</t>
      </text>
    </comment>
    <comment ref="C46" authorId="0" shapeId="0">
      <text>
        <t>tubo, conexao ou condutor conforme descricao
NORMAS: NBR 5410, NBR 5626, NBR 8160</t>
      </text>
    </comment>
    <comment ref="C47" authorId="0" shapeId="0">
      <text>
        <t>tubo, conexao ou condutor conforme descricao
NORMAS: NBR 5410, NBR 5626, NBR 8160</t>
      </text>
    </comment>
    <comment ref="C48" authorId="0" shapeId="0">
      <text>
        <t>tubo, conexao ou condutor conforme descricao; DN25
NORMAS: NBR 5410, NBR 5626, NBR 8160</t>
      </text>
    </comment>
    <comment ref="C49" authorId="0" shapeId="0">
      <text>
        <t>tubo, conexao ou condutor conforme descricao
NORMAS: NBR 5410, NBR 5626, NBR 8160</t>
      </text>
    </comment>
    <comment ref="C50" authorId="0" shapeId="0">
      <text>
        <t>tubo, conexao ou condutor conforme descricao; DN40
NORMAS: NBR 5410, NBR 5626, NBR 8160</t>
      </text>
    </comment>
    <comment ref="C51" authorId="0" shapeId="0">
      <text>
        <t>tubo, conexao ou condutor conforme descricao
NORMAS: NBR 5410, NBR 5626, NBR 8160</t>
      </text>
    </comment>
    <comment ref="C52" authorId="0" shapeId="0">
      <text>
        <t>tubo, conexao ou condutor conforme descricao
NORMAS: NBR 5410, NBR 5626, NBR 8160</t>
      </text>
    </comment>
    <comment ref="C53" authorId="0" shapeId="0">
      <text>
        <t>tubo, conexao ou condutor conforme descricao; DN50
NORMAS: NBR 5410, NBR 5626, NBR 8160</t>
      </text>
    </comment>
    <comment ref="C54" authorId="0" shapeId="0">
      <text>
        <t>tubo, conexao ou condutor conforme descricao
NORMAS: NBR 5410, NBR 5626, NBR 8160</t>
      </text>
    </comment>
    <comment ref="C55" authorId="0" shapeId="0">
      <text>
        <t>tubo, conexao ou condutor conforme descricao; DN75
NORMAS: NBR 5410, NBR 5626, NBR 8160</t>
      </text>
    </comment>
    <comment ref="C56" authorId="0" shapeId="0">
      <text>
        <t>tubo, conexao ou condutor conforme descricao; DN100
NORMAS: NBR 5410, NBR 5626, NBR 8160</t>
      </text>
    </comment>
    <comment ref="C57" authorId="0" shapeId="0">
      <text>
        <t>tubo, conexao ou condutor conforme descricao; DN20
NORMAS: NBR 5410, NBR 5626, NBR 8160</t>
      </text>
    </comment>
    <comment ref="C58" authorId="0" shapeId="0">
      <text>
        <t>tubo, conexao ou condutor conforme descricao
NORMAS: NBR 5410, NBR 5626, NBR 8160</t>
      </text>
    </comment>
    <comment ref="C59" authorId="0" shapeId="0">
      <text>
        <t>tubo, conexao ou condutor conforme descricao; DN32
NORMAS: NBR 5410, NBR 5626, NBR 8160</t>
      </text>
    </comment>
    <comment ref="C60" authorId="0" shapeId="0">
      <text>
        <t>tipos em uso: AB 4,8x19 ponta broca, AB 5,5x25 ponta broca
NORMAS: NBR 14762 item 8.4</t>
      </text>
    </comment>
    <comment ref="C78" authorId="0" shapeId="0">
      <text>
        <t>hora de equipe, com encargos e EPI
LACUNA: convencao coletiva vigente e composicao de encargos</t>
      </text>
    </comment>
    <comment ref="C79" authorId="0" shapeId="0">
      <text>
        <t>hora de equipe, com encargos e EPI
LACUNA: convencao coletiva vigente e composicao de encargos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8" customWidth="1" min="2" max="2"/>
  </cols>
  <sheetData>
    <row r="1" ht="24" customHeight="1">
      <c r="A1" s="1" t="inlineStr">
        <is>
          <t>PROJETO PORTO REAL — PLANILHA DE COTAÇÃO DE MATERIAIS</t>
        </is>
      </c>
    </row>
    <row r="2">
      <c r="A2" s="2" t="inlineStr">
        <is>
          <t>Residência unifamiliar em Light Steel Frame · Manaus/AM · 297.36 m² fechados · revisão R56</t>
        </is>
      </c>
    </row>
    <row r="3"/>
    <row r="4">
      <c r="A4" s="3" t="inlineStr">
        <is>
          <t>COMO USAR</t>
        </is>
      </c>
    </row>
    <row r="5">
      <c r="A5" s="4" t="inlineStr">
        <is>
          <t>1.</t>
        </is>
      </c>
      <c r="B5" s="5" t="inlineStr">
        <is>
          <t>Envie a aba ESPECIFICAÇÕES para cada fornecedor. É ela que torna o pedido cotável: quantidade sem especificação não é cotação, é palpite.</t>
        </is>
      </c>
    </row>
    <row r="6">
      <c r="A6" s="4" t="inlineStr">
        <is>
          <t>2.</t>
        </is>
      </c>
      <c r="B6" s="5" t="inlineStr">
        <is>
          <t>Peça no mínimo CINCO propostas por família (a aba FORNECEDORES já traz os nomes pesquisados, com praça).</t>
        </is>
      </c>
    </row>
    <row r="7">
      <c r="A7" s="4" t="inlineStr">
        <is>
          <t>3.</t>
        </is>
      </c>
      <c r="B7" s="5" t="inlineStr">
        <is>
          <t>Lance o preço unitário de cada fornecedor nas colunas amarelas da aba COTAÇÃO. Só isso — o resto é calculado.</t>
        </is>
      </c>
    </row>
    <row r="8">
      <c r="A8" s="4" t="inlineStr">
        <is>
          <t>4.</t>
        </is>
      </c>
      <c r="B8" s="5" t="inlineStr">
        <is>
          <t>A planilha escolhe sozinha o menor preço, o fornecedor vencedor, o total por item, o total por família e o total da obra.</t>
        </is>
      </c>
    </row>
    <row r="9">
      <c r="A9" s="4" t="inlineStr">
        <is>
          <t>5.</t>
        </is>
      </c>
      <c r="B9" s="5" t="inlineStr">
        <is>
          <t>Confira a aba REFERÊNCIAS: ela compara o total obtido com índices públicos da praça. Orçamento fora da faixa é sinal de linha faltando, não de preço ruim.</t>
        </is>
      </c>
    </row>
    <row r="10"/>
    <row r="11">
      <c r="A11" s="3" t="inlineStr">
        <is>
          <t>CÓDIGO DE CORES</t>
        </is>
      </c>
    </row>
    <row r="12">
      <c r="A12" s="4" t="inlineStr">
        <is>
          <t>AMARELO</t>
        </is>
      </c>
      <c r="B12" s="5" t="inlineStr">
        <is>
          <t>Célula de ENTRADA — é onde você digita. Nenhuma outra célula deve ser editada.</t>
        </is>
      </c>
    </row>
    <row r="13">
      <c r="A13" s="4" t="inlineStr">
        <is>
          <t>AZUL (texto)</t>
        </is>
      </c>
      <c r="B13" s="5" t="inlineStr">
        <is>
          <t>Valor digitado por você.</t>
        </is>
      </c>
    </row>
    <row r="14">
      <c r="A14" s="4" t="inlineStr">
        <is>
          <t>PRETO</t>
        </is>
      </c>
      <c r="B14" s="5" t="inlineStr">
        <is>
          <t>Valor calculado por fórmula.</t>
        </is>
      </c>
    </row>
    <row r="15">
      <c r="A15" s="4" t="inlineStr">
        <is>
          <t>CINZA</t>
        </is>
      </c>
      <c r="B15" s="5" t="inlineStr">
        <is>
          <t>Dado vindo do modelo do projeto (quantidade, especificação, norma). Não editar.</t>
        </is>
      </c>
    </row>
    <row r="16"/>
    <row r="17">
      <c r="A17" s="3" t="inlineStr">
        <is>
          <t>REGRAS DE COTAÇÃO</t>
        </is>
      </c>
    </row>
    <row r="18">
      <c r="A18" s="4" t="inlineStr">
        <is>
          <t>Preço sem data não é preço.</t>
        </is>
      </c>
      <c r="B18" s="5" t="inlineStr">
        <is>
          <t>Toda proposta precisa de data, validade, prazo de entrega e condição de pagamento. Registre na aba FORNECEDORES.</t>
        </is>
      </c>
    </row>
    <row r="19">
      <c r="A19" s="4" t="inlineStr">
        <is>
          <t>Frete dentro do preço.</t>
        </is>
      </c>
      <c r="B19" s="5" t="inlineStr">
        <is>
          <t>Peça CIF Manaus. Em praça do Norte o frete chega a 30 % do valor final e aparecer depois inviabiliza a comparação.</t>
        </is>
      </c>
    </row>
    <row r="20">
      <c r="A20" s="4" t="inlineStr">
        <is>
          <t>Três propostas é o piso legal.</t>
        </is>
      </c>
      <c r="B20" s="5" t="inlineStr">
        <is>
          <t>Lei 14.133 art. 23 usa três como parâmetro de preço de mercado; cinco é a meta desta planilha.</t>
        </is>
      </c>
    </row>
    <row r="21">
      <c r="A21" s="4" t="inlineStr">
        <is>
          <t>Quantidade é do projeto.</t>
        </is>
      </c>
      <c r="B21" s="5" t="inlineStr">
        <is>
          <t>As quantidades saem do modelo paramétrico, não de estimativa. Perda de corte já está embutida onde a especificação diz.</t>
        </is>
      </c>
    </row>
    <row r="22"/>
    <row r="23">
      <c r="A23" s="3" t="inlineStr">
        <is>
          <t>O QUE ESTA PLANILHA NÃO COBRE</t>
        </is>
      </c>
    </row>
    <row r="24">
      <c r="A24" s="4" t="inlineStr"/>
      <c r="B24" s="5" t="inlineStr">
        <is>
          <t>A aba FORA DO ESCOPO lista nove frentes que NÃO estão aqui — louças, climatização, pintura, revestimento interno, marcenaria, mão de obra de acabamento, equipamento de piscina, projetos e BDI. Esta planilha cobre os sistemas construtivos modelados. Ignorar essa aba é o erro que custa caro: orçamento erra mais por linha faltando do que por preço alto.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42" customWidth="1" min="3" max="3"/>
    <col width="6" customWidth="1" min="4" max="4"/>
    <col width="12" customWidth="1" min="5" max="5"/>
    <col width="8" customWidth="1" min="6" max="6"/>
    <col width="12" customWidth="1" min="7" max="7"/>
    <col width="12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0" customWidth="1" min="15" max="15"/>
    <col width="12" customWidth="1" min="16" max="16"/>
    <col width="16" customWidth="1" min="17" max="17"/>
    <col width="12" customWidth="1" min="18" max="18"/>
    <col width="11" customWidth="1" min="19" max="19"/>
    <col width="14" customWidth="1" min="20" max="20"/>
    <col width="10" customWidth="1" min="21" max="21"/>
    <col width="11" customWidth="1" min="22" max="22"/>
  </cols>
  <sheetData>
    <row r="1">
      <c r="A1" s="1" t="inlineStr">
        <is>
          <t>COTAÇÃO DE MATERIAIS — preencha apenas as colunas amarelas</t>
        </is>
      </c>
    </row>
    <row r="2">
      <c r="A2" s="2" t="inlineStr">
        <is>
          <t>Quantidades geradas pelo modelo paramétrico do projeto. Preço de referência (H) é hipótese declarada, nunca base de contrato.</t>
        </is>
      </c>
      <c r="P2" s="6" t="inlineStr">
        <is>
          <t>PROGRESSO</t>
        </is>
      </c>
      <c r="Q2" s="4">
        <f>COUNTIF(V4:V79,"COMPLETO")&amp;" de "&amp;76&amp;" itens com 5 propostas"</f>
        <v/>
      </c>
      <c r="T2" s="7">
        <f>IF(I80=0,0,SUMIF(V4:V79,"COMPLETO",I4:I79)/I80)</f>
        <v/>
      </c>
      <c r="U2" s="2" t="inlineStr">
        <is>
          <t>do custo</t>
        </is>
      </c>
    </row>
    <row r="3" ht="34" customHeight="1">
      <c r="A3" s="8" t="inlineStr">
        <is>
          <t>ITEM</t>
        </is>
      </c>
      <c r="B3" s="8" t="inlineStr">
        <is>
          <t>FAMÍLIA</t>
        </is>
      </c>
      <c r="C3" s="8" t="inlineStr">
        <is>
          <t>DESCRIÇÃO</t>
        </is>
      </c>
      <c r="D3" s="8" t="inlineStr">
        <is>
          <t>UN</t>
        </is>
      </c>
      <c r="E3" s="8" t="inlineStr">
        <is>
          <t>QUANT.
PROJETO</t>
        </is>
      </c>
      <c r="F3" s="8" t="inlineStr">
        <is>
          <t>PERDA
%</t>
        </is>
      </c>
      <c r="G3" s="8" t="inlineStr">
        <is>
          <t>QUANT. A
COMPRAR</t>
        </is>
      </c>
      <c r="H3" s="8" t="inlineStr">
        <is>
          <t>PREÇO REF.
(H)</t>
        </is>
      </c>
      <c r="I3" s="8" t="inlineStr">
        <is>
          <t>TOTAL REF.
(H)</t>
        </is>
      </c>
      <c r="J3" s="8" t="inlineStr">
        <is>
          <t>FORN. 1</t>
        </is>
      </c>
      <c r="K3" s="8" t="inlineStr">
        <is>
          <t>FORN. 2</t>
        </is>
      </c>
      <c r="L3" s="8" t="inlineStr">
        <is>
          <t>FORN. 3</t>
        </is>
      </c>
      <c r="M3" s="8" t="inlineStr">
        <is>
          <t>FORN. 4</t>
        </is>
      </c>
      <c r="N3" s="8" t="inlineStr">
        <is>
          <t>FORN. 5</t>
        </is>
      </c>
      <c r="O3" s="8" t="inlineStr">
        <is>
          <t>Nº DE
PROPOSTAS</t>
        </is>
      </c>
      <c r="P3" s="8" t="inlineStr">
        <is>
          <t>MENOR
PREÇO</t>
        </is>
      </c>
      <c r="Q3" s="8" t="inlineStr">
        <is>
          <t>FORNECEDOR
VENCEDOR</t>
        </is>
      </c>
      <c r="R3" s="8" t="inlineStr">
        <is>
          <t>PREÇO
MÉDIO</t>
        </is>
      </c>
      <c r="S3" s="8" t="inlineStr">
        <is>
          <t>DISPERSÃO
(máx/mín)</t>
        </is>
      </c>
      <c r="T3" s="8" t="inlineStr">
        <is>
          <t>TOTAL
COTADO</t>
        </is>
      </c>
      <c r="U3" s="8" t="inlineStr">
        <is>
          <t>Δ vs REF.</t>
        </is>
      </c>
      <c r="V3" s="8" t="inlineStr">
        <is>
          <t>STATUS</t>
        </is>
      </c>
    </row>
    <row r="4">
      <c r="A4" s="9" t="inlineStr">
        <is>
          <t>ACO-PERF</t>
        </is>
      </c>
      <c r="B4" s="10" t="inlineStr">
        <is>
          <t>estrutura</t>
        </is>
      </c>
      <c r="C4" s="11" t="inlineStr">
        <is>
          <t>Perfil formado a frio, barras de 6 m</t>
        </is>
      </c>
      <c r="D4" s="10" t="inlineStr">
        <is>
          <t>kg</t>
        </is>
      </c>
      <c r="E4" s="12" t="n">
        <v>6202.2</v>
      </c>
      <c r="F4" s="13" t="n">
        <v>0</v>
      </c>
      <c r="G4" s="14">
        <f>E4*(1+F4)</f>
        <v/>
      </c>
      <c r="H4" s="15" t="n">
        <v>11.5</v>
      </c>
      <c r="I4" s="16">
        <f>G4*H4</f>
        <v/>
      </c>
      <c r="J4" s="17" t="n"/>
      <c r="K4" s="17" t="n"/>
      <c r="L4" s="17" t="n"/>
      <c r="M4" s="17" t="n"/>
      <c r="N4" s="17" t="n"/>
      <c r="O4" s="18">
        <f>COUNT(J4:N4)</f>
        <v/>
      </c>
      <c r="P4" s="19">
        <f>IF(O4=0,"",MIN(J4:N4))</f>
        <v/>
      </c>
      <c r="Q4" s="10">
        <f>IF(O4=0,"",INDEX($J$3:$N$3,MATCH(P4,J4:N4,0)))</f>
        <v/>
      </c>
      <c r="R4" s="16">
        <f>IF(O4=0,"",AVERAGE(J4:N4))</f>
        <v/>
      </c>
      <c r="S4" s="20">
        <f>IF(O4&lt;2,"",MAX(J4:N4)/P4)</f>
        <v/>
      </c>
      <c r="T4" s="19">
        <f>IF(O4=0,"",G4*P4)</f>
        <v/>
      </c>
      <c r="U4" s="21">
        <f>IF(OR(O4=0,I4=0),"",T4/I4-1)</f>
        <v/>
      </c>
      <c r="V4" s="18">
        <f>IF(O4=0,"PENDENTE",IF(O4&gt;=5,"COMPLETO","PARCIAL"))</f>
        <v/>
      </c>
    </row>
    <row r="5">
      <c r="A5" s="9" t="inlineStr">
        <is>
          <t>PIR-75</t>
        </is>
      </c>
      <c r="B5" s="10" t="inlineStr">
        <is>
          <t>vedacao</t>
        </is>
      </c>
      <c r="C5" s="11" t="inlineStr">
        <is>
          <t>PIR 75 mm</t>
        </is>
      </c>
      <c r="D5" s="10" t="inlineStr">
        <is>
          <t>m2</t>
        </is>
      </c>
      <c r="E5" s="12" t="n">
        <v>184.3</v>
      </c>
      <c r="F5" s="13" t="n">
        <v>0</v>
      </c>
      <c r="G5" s="14">
        <f>E5*(1+F5)</f>
        <v/>
      </c>
      <c r="H5" s="15" t="n">
        <v>132</v>
      </c>
      <c r="I5" s="16">
        <f>G5*H5</f>
        <v/>
      </c>
      <c r="J5" s="17" t="n"/>
      <c r="K5" s="17" t="n"/>
      <c r="L5" s="17" t="n"/>
      <c r="M5" s="17" t="n"/>
      <c r="N5" s="17" t="n"/>
      <c r="O5" s="18">
        <f>COUNT(J5:N5)</f>
        <v/>
      </c>
      <c r="P5" s="19">
        <f>IF(O5=0,"",MIN(J5:N5))</f>
        <v/>
      </c>
      <c r="Q5" s="10">
        <f>IF(O5=0,"",INDEX($J$3:$N$3,MATCH(P5,J5:N5,0)))</f>
        <v/>
      </c>
      <c r="R5" s="16">
        <f>IF(O5=0,"",AVERAGE(J5:N5))</f>
        <v/>
      </c>
      <c r="S5" s="20">
        <f>IF(O5&lt;2,"",MAX(J5:N5)/P5)</f>
        <v/>
      </c>
      <c r="T5" s="19">
        <f>IF(O5=0,"",G5*P5)</f>
        <v/>
      </c>
      <c r="U5" s="21">
        <f>IF(OR(O5=0,I5=0),"",T5/I5-1)</f>
        <v/>
      </c>
      <c r="V5" s="18">
        <f>IF(O5=0,"PENDENTE",IF(O5&gt;=5,"COMPLETO","PARCIAL"))</f>
        <v/>
      </c>
    </row>
    <row r="6">
      <c r="A6" s="9" t="inlineStr">
        <is>
          <t>GESSO-12,5</t>
        </is>
      </c>
      <c r="B6" s="10" t="inlineStr">
        <is>
          <t>vedacao</t>
        </is>
      </c>
      <c r="C6" s="11" t="inlineStr">
        <is>
          <t>Chapa de gesso 12.5 mm</t>
        </is>
      </c>
      <c r="D6" s="10" t="inlineStr">
        <is>
          <t>m2</t>
        </is>
      </c>
      <c r="E6" s="12" t="n">
        <v>734.2</v>
      </c>
      <c r="F6" s="13" t="n">
        <v>0</v>
      </c>
      <c r="G6" s="14">
        <f>E6*(1+F6)</f>
        <v/>
      </c>
      <c r="H6" s="15" t="n">
        <v>28</v>
      </c>
      <c r="I6" s="16">
        <f>G6*H6</f>
        <v/>
      </c>
      <c r="J6" s="17" t="n"/>
      <c r="K6" s="17" t="n"/>
      <c r="L6" s="17" t="n"/>
      <c r="M6" s="17" t="n"/>
      <c r="N6" s="17" t="n"/>
      <c r="O6" s="18">
        <f>COUNT(J6:N6)</f>
        <v/>
      </c>
      <c r="P6" s="19">
        <f>IF(O6=0,"",MIN(J6:N6))</f>
        <v/>
      </c>
      <c r="Q6" s="10">
        <f>IF(O6=0,"",INDEX($J$3:$N$3,MATCH(P6,J6:N6,0)))</f>
        <v/>
      </c>
      <c r="R6" s="16">
        <f>IF(O6=0,"",AVERAGE(J6:N6))</f>
        <v/>
      </c>
      <c r="S6" s="20">
        <f>IF(O6&lt;2,"",MAX(J6:N6)/P6)</f>
        <v/>
      </c>
      <c r="T6" s="19">
        <f>IF(O6=0,"",G6*P6)</f>
        <v/>
      </c>
      <c r="U6" s="21">
        <f>IF(OR(O6=0,I6=0),"",T6/I6-1)</f>
        <v/>
      </c>
      <c r="V6" s="18">
        <f>IF(O6=0,"PENDENTE",IF(O6&gt;=5,"COMPLETO","PARCIAL"))</f>
        <v/>
      </c>
    </row>
    <row r="7">
      <c r="A7" s="9" t="inlineStr">
        <is>
          <t>PLCIM-10</t>
        </is>
      </c>
      <c r="B7" s="10" t="inlineStr">
        <is>
          <t>vedacao</t>
        </is>
      </c>
      <c r="C7" s="11" t="inlineStr">
        <is>
          <t>Placa cimenticia 10 mm</t>
        </is>
      </c>
      <c r="D7" s="10" t="inlineStr">
        <is>
          <t>m2</t>
        </is>
      </c>
      <c r="E7" s="12" t="n">
        <v>237.9</v>
      </c>
      <c r="F7" s="13" t="n">
        <v>0</v>
      </c>
      <c r="G7" s="14">
        <f>E7*(1+F7)</f>
        <v/>
      </c>
      <c r="H7" s="15" t="n">
        <v>62</v>
      </c>
      <c r="I7" s="16">
        <f>G7*H7</f>
        <v/>
      </c>
      <c r="J7" s="17" t="n"/>
      <c r="K7" s="17" t="n"/>
      <c r="L7" s="17" t="n"/>
      <c r="M7" s="17" t="n"/>
      <c r="N7" s="17" t="n"/>
      <c r="O7" s="18">
        <f>COUNT(J7:N7)</f>
        <v/>
      </c>
      <c r="P7" s="19">
        <f>IF(O7=0,"",MIN(J7:N7))</f>
        <v/>
      </c>
      <c r="Q7" s="10">
        <f>IF(O7=0,"",INDEX($J$3:$N$3,MATCH(P7,J7:N7,0)))</f>
        <v/>
      </c>
      <c r="R7" s="16">
        <f>IF(O7=0,"",AVERAGE(J7:N7))</f>
        <v/>
      </c>
      <c r="S7" s="20">
        <f>IF(O7&lt;2,"",MAX(J7:N7)/P7)</f>
        <v/>
      </c>
      <c r="T7" s="19">
        <f>IF(O7=0,"",G7*P7)</f>
        <v/>
      </c>
      <c r="U7" s="21">
        <f>IF(OR(O7=0,I7=0),"",T7/I7-1)</f>
        <v/>
      </c>
      <c r="V7" s="18">
        <f>IF(O7=0,"PENDENTE",IF(O7&gt;=5,"COMPLETO","PARCIAL"))</f>
        <v/>
      </c>
    </row>
    <row r="8">
      <c r="A8" s="9" t="inlineStr">
        <is>
          <t>LAROCHA-50</t>
        </is>
      </c>
      <c r="B8" s="10" t="inlineStr">
        <is>
          <t>vedacao</t>
        </is>
      </c>
      <c r="C8" s="11" t="inlineStr">
        <is>
          <t>La de rocha 50 mm</t>
        </is>
      </c>
      <c r="D8" s="10" t="inlineStr">
        <is>
          <t>m2</t>
        </is>
      </c>
      <c r="E8" s="12" t="n">
        <v>384.6</v>
      </c>
      <c r="F8" s="13" t="n">
        <v>0</v>
      </c>
      <c r="G8" s="14">
        <f>E8*(1+F8)</f>
        <v/>
      </c>
      <c r="H8" s="15" t="n">
        <v>34</v>
      </c>
      <c r="I8" s="16">
        <f>G8*H8</f>
        <v/>
      </c>
      <c r="J8" s="17" t="n"/>
      <c r="K8" s="17" t="n"/>
      <c r="L8" s="17" t="n"/>
      <c r="M8" s="17" t="n"/>
      <c r="N8" s="17" t="n"/>
      <c r="O8" s="18">
        <f>COUNT(J8:N8)</f>
        <v/>
      </c>
      <c r="P8" s="19">
        <f>IF(O8=0,"",MIN(J8:N8))</f>
        <v/>
      </c>
      <c r="Q8" s="10">
        <f>IF(O8=0,"",INDEX($J$3:$N$3,MATCH(P8,J8:N8,0)))</f>
        <v/>
      </c>
      <c r="R8" s="16">
        <f>IF(O8=0,"",AVERAGE(J8:N8))</f>
        <v/>
      </c>
      <c r="S8" s="20">
        <f>IF(O8&lt;2,"",MAX(J8:N8)/P8)</f>
        <v/>
      </c>
      <c r="T8" s="19">
        <f>IF(O8=0,"",G8*P8)</f>
        <v/>
      </c>
      <c r="U8" s="21">
        <f>IF(OR(O8=0,I8=0),"",T8/I8-1)</f>
        <v/>
      </c>
      <c r="V8" s="18">
        <f>IF(O8=0,"PENDENTE",IF(O8&gt;=5,"COMPLETO","PARCIAL"))</f>
        <v/>
      </c>
    </row>
    <row r="9">
      <c r="A9" s="9" t="inlineStr">
        <is>
          <t>IMP-MANTA</t>
        </is>
      </c>
      <c r="B9" s="10" t="inlineStr">
        <is>
          <t>vedacao</t>
        </is>
      </c>
      <c r="C9" s="11" t="inlineStr">
        <is>
          <t>Impermeabilizacao de area molhada</t>
        </is>
      </c>
      <c r="D9" s="10" t="inlineStr">
        <is>
          <t>m2</t>
        </is>
      </c>
      <c r="E9" s="12" t="n">
        <v>131</v>
      </c>
      <c r="F9" s="13" t="n">
        <v>0</v>
      </c>
      <c r="G9" s="14">
        <f>E9*(1+F9)</f>
        <v/>
      </c>
      <c r="H9" s="15" t="n">
        <v>78</v>
      </c>
      <c r="I9" s="16">
        <f>G9*H9</f>
        <v/>
      </c>
      <c r="J9" s="17" t="n"/>
      <c r="K9" s="17" t="n"/>
      <c r="L9" s="17" t="n"/>
      <c r="M9" s="17" t="n"/>
      <c r="N9" s="17" t="n"/>
      <c r="O9" s="18">
        <f>COUNT(J9:N9)</f>
        <v/>
      </c>
      <c r="P9" s="19">
        <f>IF(O9=0,"",MIN(J9:N9))</f>
        <v/>
      </c>
      <c r="Q9" s="10">
        <f>IF(O9=0,"",INDEX($J$3:$N$3,MATCH(P9,J9:N9,0)))</f>
        <v/>
      </c>
      <c r="R9" s="16">
        <f>IF(O9=0,"",AVERAGE(J9:N9))</f>
        <v/>
      </c>
      <c r="S9" s="20">
        <f>IF(O9&lt;2,"",MAX(J9:N9)/P9)</f>
        <v/>
      </c>
      <c r="T9" s="19">
        <f>IF(O9=0,"",G9*P9)</f>
        <v/>
      </c>
      <c r="U9" s="21">
        <f>IF(OR(O9=0,I9=0),"",T9/I9-1)</f>
        <v/>
      </c>
      <c r="V9" s="18">
        <f>IF(O9=0,"PENDENTE",IF(O9&gt;=5,"COMPLETO","PARCIAL"))</f>
        <v/>
      </c>
    </row>
    <row r="10">
      <c r="A10" s="9" t="inlineStr">
        <is>
          <t>XPS-20</t>
        </is>
      </c>
      <c r="B10" s="10" t="inlineStr">
        <is>
          <t>vedacao</t>
        </is>
      </c>
      <c r="C10" s="11" t="inlineStr">
        <is>
          <t>XPS (ISO strip) 20 mm</t>
        </is>
      </c>
      <c r="D10" s="10" t="inlineStr">
        <is>
          <t>m2</t>
        </is>
      </c>
      <c r="E10" s="12" t="n">
        <v>237.9</v>
      </c>
      <c r="F10" s="13" t="n">
        <v>0</v>
      </c>
      <c r="G10" s="14">
        <f>E10*(1+F10)</f>
        <v/>
      </c>
      <c r="H10" s="15" t="n">
        <v>41</v>
      </c>
      <c r="I10" s="16">
        <f>G10*H10</f>
        <v/>
      </c>
      <c r="J10" s="17" t="n"/>
      <c r="K10" s="17" t="n"/>
      <c r="L10" s="17" t="n"/>
      <c r="M10" s="17" t="n"/>
      <c r="N10" s="17" t="n"/>
      <c r="O10" s="18">
        <f>COUNT(J10:N10)</f>
        <v/>
      </c>
      <c r="P10" s="19">
        <f>IF(O10=0,"",MIN(J10:N10))</f>
        <v/>
      </c>
      <c r="Q10" s="10">
        <f>IF(O10=0,"",INDEX($J$3:$N$3,MATCH(P10,J10:N10,0)))</f>
        <v/>
      </c>
      <c r="R10" s="16">
        <f>IF(O10=0,"",AVERAGE(J10:N10))</f>
        <v/>
      </c>
      <c r="S10" s="20">
        <f>IF(O10&lt;2,"",MAX(J10:N10)/P10)</f>
        <v/>
      </c>
      <c r="T10" s="19">
        <f>IF(O10=0,"",G10*P10)</f>
        <v/>
      </c>
      <c r="U10" s="21">
        <f>IF(OR(O10=0,I10=0),"",T10/I10-1)</f>
        <v/>
      </c>
      <c r="V10" s="18">
        <f>IF(O10=0,"PENDENTE",IF(O10&gt;=5,"COMPLETO","PARCIAL"))</f>
        <v/>
      </c>
    </row>
    <row r="11">
      <c r="A11" s="9" t="inlineStr">
        <is>
          <t>OSB-18</t>
        </is>
      </c>
      <c r="B11" s="10" t="inlineStr">
        <is>
          <t>vedacao</t>
        </is>
      </c>
      <c r="C11" s="11" t="inlineStr">
        <is>
          <t>OSB estrutural 18 mm</t>
        </is>
      </c>
      <c r="D11" s="10" t="inlineStr">
        <is>
          <t>m2</t>
        </is>
      </c>
      <c r="E11" s="12" t="n">
        <v>117.4</v>
      </c>
      <c r="F11" s="13" t="n">
        <v>0</v>
      </c>
      <c r="G11" s="14">
        <f>E11*(1+F11)</f>
        <v/>
      </c>
      <c r="H11" s="15" t="n">
        <v>58</v>
      </c>
      <c r="I11" s="16">
        <f>G11*H11</f>
        <v/>
      </c>
      <c r="J11" s="17" t="n"/>
      <c r="K11" s="17" t="n"/>
      <c r="L11" s="17" t="n"/>
      <c r="M11" s="17" t="n"/>
      <c r="N11" s="17" t="n"/>
      <c r="O11" s="18">
        <f>COUNT(J11:N11)</f>
        <v/>
      </c>
      <c r="P11" s="19">
        <f>IF(O11=0,"",MIN(J11:N11))</f>
        <v/>
      </c>
      <c r="Q11" s="10">
        <f>IF(O11=0,"",INDEX($J$3:$N$3,MATCH(P11,J11:N11,0)))</f>
        <v/>
      </c>
      <c r="R11" s="16">
        <f>IF(O11=0,"",AVERAGE(J11:N11))</f>
        <v/>
      </c>
      <c r="S11" s="20">
        <f>IF(O11&lt;2,"",MAX(J11:N11)/P11)</f>
        <v/>
      </c>
      <c r="T11" s="19">
        <f>IF(O11=0,"",G11*P11)</f>
        <v/>
      </c>
      <c r="U11" s="21">
        <f>IF(OR(O11=0,I11=0),"",T11/I11-1)</f>
        <v/>
      </c>
      <c r="V11" s="18">
        <f>IF(O11=0,"PENDENTE",IF(O11&gt;=5,"COMPLETO","PARCIAL"))</f>
        <v/>
      </c>
    </row>
    <row r="12">
      <c r="A12" s="9" t="inlineStr">
        <is>
          <t>CANT</t>
        </is>
      </c>
      <c r="B12" s="10" t="inlineStr">
        <is>
          <t>vedacao</t>
        </is>
      </c>
      <c r="C12" s="11" t="inlineStr">
        <is>
          <t>Cantoneira de canto e arremate</t>
        </is>
      </c>
      <c r="D12" s="10" t="inlineStr">
        <is>
          <t>m</t>
        </is>
      </c>
      <c r="E12" s="12" t="n">
        <v>1009.3</v>
      </c>
      <c r="F12" s="13" t="n">
        <v>0</v>
      </c>
      <c r="G12" s="14">
        <f>E12*(1+F12)</f>
        <v/>
      </c>
      <c r="H12" s="15" t="n">
        <v>4.5</v>
      </c>
      <c r="I12" s="16">
        <f>G12*H12</f>
        <v/>
      </c>
      <c r="J12" s="17" t="n"/>
      <c r="K12" s="17" t="n"/>
      <c r="L12" s="17" t="n"/>
      <c r="M12" s="17" t="n"/>
      <c r="N12" s="17" t="n"/>
      <c r="O12" s="18">
        <f>COUNT(J12:N12)</f>
        <v/>
      </c>
      <c r="P12" s="19">
        <f>IF(O12=0,"",MIN(J12:N12))</f>
        <v/>
      </c>
      <c r="Q12" s="10">
        <f>IF(O12=0,"",INDEX($J$3:$N$3,MATCH(P12,J12:N12,0)))</f>
        <v/>
      </c>
      <c r="R12" s="16">
        <f>IF(O12=0,"",AVERAGE(J12:N12))</f>
        <v/>
      </c>
      <c r="S12" s="20">
        <f>IF(O12&lt;2,"",MAX(J12:N12)/P12)</f>
        <v/>
      </c>
      <c r="T12" s="19">
        <f>IF(O12=0,"",G12*P12)</f>
        <v/>
      </c>
      <c r="U12" s="21">
        <f>IF(OR(O12=0,I12=0),"",T12/I12-1)</f>
        <v/>
      </c>
      <c r="V12" s="18">
        <f>IF(O12=0,"PENDENTE",IF(O12&gt;=5,"COMPLETO","PARCIAL"))</f>
        <v/>
      </c>
    </row>
    <row r="13">
      <c r="A13" s="9" t="inlineStr">
        <is>
          <t>MASSA</t>
        </is>
      </c>
      <c r="B13" s="10" t="inlineStr">
        <is>
          <t>vedacao</t>
        </is>
      </c>
      <c r="C13" s="11" t="inlineStr">
        <is>
          <t>Massa para junta, 3 demaos</t>
        </is>
      </c>
      <c r="D13" s="10" t="inlineStr">
        <is>
          <t>m</t>
        </is>
      </c>
      <c r="E13" s="12" t="n">
        <v>805.3</v>
      </c>
      <c r="F13" s="13" t="n">
        <v>0</v>
      </c>
      <c r="G13" s="14">
        <f>E13*(1+F13)</f>
        <v/>
      </c>
      <c r="H13" s="15" t="n">
        <v>2.5</v>
      </c>
      <c r="I13" s="16">
        <f>G13*H13</f>
        <v/>
      </c>
      <c r="J13" s="17" t="n"/>
      <c r="K13" s="17" t="n"/>
      <c r="L13" s="17" t="n"/>
      <c r="M13" s="17" t="n"/>
      <c r="N13" s="17" t="n"/>
      <c r="O13" s="18">
        <f>COUNT(J13:N13)</f>
        <v/>
      </c>
      <c r="P13" s="19">
        <f>IF(O13=0,"",MIN(J13:N13))</f>
        <v/>
      </c>
      <c r="Q13" s="10">
        <f>IF(O13=0,"",INDEX($J$3:$N$3,MATCH(P13,J13:N13,0)))</f>
        <v/>
      </c>
      <c r="R13" s="16">
        <f>IF(O13=0,"",AVERAGE(J13:N13))</f>
        <v/>
      </c>
      <c r="S13" s="20">
        <f>IF(O13&lt;2,"",MAX(J13:N13)/P13)</f>
        <v/>
      </c>
      <c r="T13" s="19">
        <f>IF(O13=0,"",G13*P13)</f>
        <v/>
      </c>
      <c r="U13" s="21">
        <f>IF(OR(O13=0,I13=0),"",T13/I13-1)</f>
        <v/>
      </c>
      <c r="V13" s="18">
        <f>IF(O13=0,"PENDENTE",IF(O13&gt;=5,"COMPLETO","PARCIAL"))</f>
        <v/>
      </c>
    </row>
    <row r="14">
      <c r="A14" s="9" t="inlineStr">
        <is>
          <t>LAVIDRO-48</t>
        </is>
      </c>
      <c r="B14" s="10" t="inlineStr">
        <is>
          <t>vedacao</t>
        </is>
      </c>
      <c r="C14" s="11" t="inlineStr">
        <is>
          <t>La de vidro 48 mm</t>
        </is>
      </c>
      <c r="D14" s="10" t="inlineStr">
        <is>
          <t>m2</t>
        </is>
      </c>
      <c r="E14" s="12" t="n">
        <v>74.09999999999999</v>
      </c>
      <c r="F14" s="13" t="n">
        <v>0</v>
      </c>
      <c r="G14" s="14">
        <f>E14*(1+F14)</f>
        <v/>
      </c>
      <c r="H14" s="15" t="n">
        <v>22</v>
      </c>
      <c r="I14" s="16">
        <f>G14*H14</f>
        <v/>
      </c>
      <c r="J14" s="17" t="n"/>
      <c r="K14" s="17" t="n"/>
      <c r="L14" s="17" t="n"/>
      <c r="M14" s="17" t="n"/>
      <c r="N14" s="17" t="n"/>
      <c r="O14" s="18">
        <f>COUNT(J14:N14)</f>
        <v/>
      </c>
      <c r="P14" s="19">
        <f>IF(O14=0,"",MIN(J14:N14))</f>
        <v/>
      </c>
      <c r="Q14" s="10">
        <f>IF(O14=0,"",INDEX($J$3:$N$3,MATCH(P14,J14:N14,0)))</f>
        <v/>
      </c>
      <c r="R14" s="16">
        <f>IF(O14=0,"",AVERAGE(J14:N14))</f>
        <v/>
      </c>
      <c r="S14" s="20">
        <f>IF(O14&lt;2,"",MAX(J14:N14)/P14)</f>
        <v/>
      </c>
      <c r="T14" s="19">
        <f>IF(O14=0,"",G14*P14)</f>
        <v/>
      </c>
      <c r="U14" s="21">
        <f>IF(OR(O14=0,I14=0),"",T14/I14-1)</f>
        <v/>
      </c>
      <c r="V14" s="18">
        <f>IF(O14=0,"PENDENTE",IF(O14&gt;=5,"COMPLETO","PARCIAL"))</f>
        <v/>
      </c>
    </row>
    <row r="15">
      <c r="A15" s="9" t="inlineStr">
        <is>
          <t>GESSORU-12,5</t>
        </is>
      </c>
      <c r="B15" s="10" t="inlineStr">
        <is>
          <t>vedacao</t>
        </is>
      </c>
      <c r="C15" s="11" t="inlineStr">
        <is>
          <t>Chapa de gesso RU 12.5 mm</t>
        </is>
      </c>
      <c r="D15" s="10" t="inlineStr">
        <is>
          <t>m2</t>
        </is>
      </c>
      <c r="E15" s="12" t="n">
        <v>34.1</v>
      </c>
      <c r="F15" s="13" t="n">
        <v>0</v>
      </c>
      <c r="G15" s="14">
        <f>E15*(1+F15)</f>
        <v/>
      </c>
      <c r="H15" s="15" t="n">
        <v>36</v>
      </c>
      <c r="I15" s="16">
        <f>G15*H15</f>
        <v/>
      </c>
      <c r="J15" s="17" t="n"/>
      <c r="K15" s="17" t="n"/>
      <c r="L15" s="17" t="n"/>
      <c r="M15" s="17" t="n"/>
      <c r="N15" s="17" t="n"/>
      <c r="O15" s="18">
        <f>COUNT(J15:N15)</f>
        <v/>
      </c>
      <c r="P15" s="19">
        <f>IF(O15=0,"",MIN(J15:N15))</f>
        <v/>
      </c>
      <c r="Q15" s="10">
        <f>IF(O15=0,"",INDEX($J$3:$N$3,MATCH(P15,J15:N15,0)))</f>
        <v/>
      </c>
      <c r="R15" s="16">
        <f>IF(O15=0,"",AVERAGE(J15:N15))</f>
        <v/>
      </c>
      <c r="S15" s="20">
        <f>IF(O15&lt;2,"",MAX(J15:N15)/P15)</f>
        <v/>
      </c>
      <c r="T15" s="19">
        <f>IF(O15=0,"",G15*P15)</f>
        <v/>
      </c>
      <c r="U15" s="21">
        <f>IF(OR(O15=0,I15=0),"",T15/I15-1)</f>
        <v/>
      </c>
      <c r="V15" s="18">
        <f>IF(O15=0,"PENDENTE",IF(O15&gt;=5,"COMPLETO","PARCIAL"))</f>
        <v/>
      </c>
    </row>
    <row r="16">
      <c r="A16" s="9" t="inlineStr">
        <is>
          <t>PAR-PLA</t>
        </is>
      </c>
      <c r="B16" s="10" t="inlineStr">
        <is>
          <t>vedacao</t>
        </is>
      </c>
      <c r="C16" s="11" t="inlineStr">
        <is>
          <t>Parafuso de placa 25 mm</t>
        </is>
      </c>
      <c r="D16" s="10" t="inlineStr">
        <is>
          <t>un</t>
        </is>
      </c>
      <c r="E16" s="12" t="n">
        <v>9802</v>
      </c>
      <c r="F16" s="13" t="n">
        <v>0</v>
      </c>
      <c r="G16" s="14">
        <f>E16*(1+F16)</f>
        <v/>
      </c>
      <c r="H16" s="15" t="n">
        <v>0.12</v>
      </c>
      <c r="I16" s="16">
        <f>G16*H16</f>
        <v/>
      </c>
      <c r="J16" s="17" t="n"/>
      <c r="K16" s="17" t="n"/>
      <c r="L16" s="17" t="n"/>
      <c r="M16" s="17" t="n"/>
      <c r="N16" s="17" t="n"/>
      <c r="O16" s="18">
        <f>COUNT(J16:N16)</f>
        <v/>
      </c>
      <c r="P16" s="19">
        <f>IF(O16=0,"",MIN(J16:N16))</f>
        <v/>
      </c>
      <c r="Q16" s="10">
        <f>IF(O16=0,"",INDEX($J$3:$N$3,MATCH(P16,J16:N16,0)))</f>
        <v/>
      </c>
      <c r="R16" s="16">
        <f>IF(O16=0,"",AVERAGE(J16:N16))</f>
        <v/>
      </c>
      <c r="S16" s="20">
        <f>IF(O16&lt;2,"",MAX(J16:N16)/P16)</f>
        <v/>
      </c>
      <c r="T16" s="19">
        <f>IF(O16=0,"",G16*P16)</f>
        <v/>
      </c>
      <c r="U16" s="21">
        <f>IF(OR(O16=0,I16=0),"",T16/I16-1)</f>
        <v/>
      </c>
      <c r="V16" s="18">
        <f>IF(O16=0,"PENDENTE",IF(O16&gt;=5,"COMPLETO","PARCIAL"))</f>
        <v/>
      </c>
    </row>
    <row r="17">
      <c r="A17" s="9" t="inlineStr">
        <is>
          <t>LAVIDRO-50</t>
        </is>
      </c>
      <c r="B17" s="10" t="inlineStr">
        <is>
          <t>vedacao</t>
        </is>
      </c>
      <c r="C17" s="11" t="inlineStr">
        <is>
          <t>La de vidro 50 mm</t>
        </is>
      </c>
      <c r="D17" s="10" t="inlineStr">
        <is>
          <t>m2</t>
        </is>
      </c>
      <c r="E17" s="12" t="n">
        <v>14.9</v>
      </c>
      <c r="F17" s="13" t="n">
        <v>0</v>
      </c>
      <c r="G17" s="14">
        <f>E17*(1+F17)</f>
        <v/>
      </c>
      <c r="H17" s="15" t="n">
        <v>22</v>
      </c>
      <c r="I17" s="16">
        <f>G17*H17</f>
        <v/>
      </c>
      <c r="J17" s="17" t="n"/>
      <c r="K17" s="17" t="n"/>
      <c r="L17" s="17" t="n"/>
      <c r="M17" s="17" t="n"/>
      <c r="N17" s="17" t="n"/>
      <c r="O17" s="18">
        <f>COUNT(J17:N17)</f>
        <v/>
      </c>
      <c r="P17" s="19">
        <f>IF(O17=0,"",MIN(J17:N17))</f>
        <v/>
      </c>
      <c r="Q17" s="10">
        <f>IF(O17=0,"",INDEX($J$3:$N$3,MATCH(P17,J17:N17,0)))</f>
        <v/>
      </c>
      <c r="R17" s="16">
        <f>IF(O17=0,"",AVERAGE(J17:N17))</f>
        <v/>
      </c>
      <c r="S17" s="20">
        <f>IF(O17&lt;2,"",MAX(J17:N17)/P17)</f>
        <v/>
      </c>
      <c r="T17" s="19">
        <f>IF(O17=0,"",G17*P17)</f>
        <v/>
      </c>
      <c r="U17" s="21">
        <f>IF(OR(O17=0,I17=0),"",T17/I17-1)</f>
        <v/>
      </c>
      <c r="V17" s="18">
        <f>IF(O17=0,"PENDENTE",IF(O17&gt;=5,"COMPLETO","PARCIAL"))</f>
        <v/>
      </c>
    </row>
    <row r="18">
      <c r="A18" s="9" t="inlineStr">
        <is>
          <t>FITA</t>
        </is>
      </c>
      <c r="B18" s="10" t="inlineStr">
        <is>
          <t>vedacao</t>
        </is>
      </c>
      <c r="C18" s="11" t="inlineStr">
        <is>
          <t>Fita de papel para junta</t>
        </is>
      </c>
      <c r="D18" s="10" t="inlineStr">
        <is>
          <t>m</t>
        </is>
      </c>
      <c r="E18" s="12" t="n">
        <v>805.3</v>
      </c>
      <c r="F18" s="13" t="n">
        <v>0</v>
      </c>
      <c r="G18" s="14">
        <f>E18*(1+F18)</f>
        <v/>
      </c>
      <c r="H18" s="15" t="n">
        <v>0.4</v>
      </c>
      <c r="I18" s="16">
        <f>G18*H18</f>
        <v/>
      </c>
      <c r="J18" s="17" t="n"/>
      <c r="K18" s="17" t="n"/>
      <c r="L18" s="17" t="n"/>
      <c r="M18" s="17" t="n"/>
      <c r="N18" s="17" t="n"/>
      <c r="O18" s="18">
        <f>COUNT(J18:N18)</f>
        <v/>
      </c>
      <c r="P18" s="19">
        <f>IF(O18=0,"",MIN(J18:N18))</f>
        <v/>
      </c>
      <c r="Q18" s="10">
        <f>IF(O18=0,"",INDEX($J$3:$N$3,MATCH(P18,J18:N18,0)))</f>
        <v/>
      </c>
      <c r="R18" s="16">
        <f>IF(O18=0,"",AVERAGE(J18:N18))</f>
        <v/>
      </c>
      <c r="S18" s="20">
        <f>IF(O18&lt;2,"",MAX(J18:N18)/P18)</f>
        <v/>
      </c>
      <c r="T18" s="19">
        <f>IF(O18=0,"",G18*P18)</f>
        <v/>
      </c>
      <c r="U18" s="21">
        <f>IF(OR(O18=0,I18=0),"",T18/I18-1)</f>
        <v/>
      </c>
      <c r="V18" s="18">
        <f>IF(O18=0,"PENDENTE",IF(O18&gt;=5,"COMPLETO","PARCIAL"))</f>
        <v/>
      </c>
    </row>
    <row r="19">
      <c r="A19" s="9" t="inlineStr">
        <is>
          <t>COB-RUFO</t>
        </is>
      </c>
      <c r="B19" s="10" t="inlineStr">
        <is>
          <t>cobertura</t>
        </is>
      </c>
      <c r="C19" s="11" t="inlineStr">
        <is>
          <t>Rufo e contrarrufo</t>
        </is>
      </c>
      <c r="D19" s="10" t="inlineStr">
        <is>
          <t>m</t>
        </is>
      </c>
      <c r="E19" s="12" t="n">
        <v>160.8</v>
      </c>
      <c r="F19" s="13" t="n">
        <v>0</v>
      </c>
      <c r="G19" s="14">
        <f>E19*(1+F19)</f>
        <v/>
      </c>
      <c r="H19" s="15" t="n">
        <v>62</v>
      </c>
      <c r="I19" s="16">
        <f>G19*H19</f>
        <v/>
      </c>
      <c r="J19" s="17" t="n"/>
      <c r="K19" s="17" t="n"/>
      <c r="L19" s="17" t="n"/>
      <c r="M19" s="17" t="n"/>
      <c r="N19" s="17" t="n"/>
      <c r="O19" s="18">
        <f>COUNT(J19:N19)</f>
        <v/>
      </c>
      <c r="P19" s="19">
        <f>IF(O19=0,"",MIN(J19:N19))</f>
        <v/>
      </c>
      <c r="Q19" s="10">
        <f>IF(O19=0,"",INDEX($J$3:$N$3,MATCH(P19,J19:N19,0)))</f>
        <v/>
      </c>
      <c r="R19" s="16">
        <f>IF(O19=0,"",AVERAGE(J19:N19))</f>
        <v/>
      </c>
      <c r="S19" s="20">
        <f>IF(O19&lt;2,"",MAX(J19:N19)/P19)</f>
        <v/>
      </c>
      <c r="T19" s="19">
        <f>IF(O19=0,"",G19*P19)</f>
        <v/>
      </c>
      <c r="U19" s="21">
        <f>IF(OR(O19=0,I19=0),"",T19/I19-1)</f>
        <v/>
      </c>
      <c r="V19" s="18">
        <f>IF(O19=0,"PENDENTE",IF(O19&gt;=5,"COMPLETO","PARCIAL"))</f>
        <v/>
      </c>
    </row>
    <row r="20">
      <c r="A20" s="9" t="inlineStr">
        <is>
          <t>COB-CALHA</t>
        </is>
      </c>
      <c r="B20" s="10" t="inlineStr">
        <is>
          <t>cobertura</t>
        </is>
      </c>
      <c r="C20" s="11" t="inlineStr">
        <is>
          <t>Calha externa 150x100 mm</t>
        </is>
      </c>
      <c r="D20" s="10" t="inlineStr">
        <is>
          <t>m</t>
        </is>
      </c>
      <c r="E20" s="12" t="n">
        <v>80.40000000000001</v>
      </c>
      <c r="F20" s="13" t="n">
        <v>0</v>
      </c>
      <c r="G20" s="14">
        <f>E20*(1+F20)</f>
        <v/>
      </c>
      <c r="H20" s="15" t="n">
        <v>118</v>
      </c>
      <c r="I20" s="16">
        <f>G20*H20</f>
        <v/>
      </c>
      <c r="J20" s="17" t="n"/>
      <c r="K20" s="17" t="n"/>
      <c r="L20" s="17" t="n"/>
      <c r="M20" s="17" t="n"/>
      <c r="N20" s="17" t="n"/>
      <c r="O20" s="18">
        <f>COUNT(J20:N20)</f>
        <v/>
      </c>
      <c r="P20" s="19">
        <f>IF(O20=0,"",MIN(J20:N20))</f>
        <v/>
      </c>
      <c r="Q20" s="10">
        <f>IF(O20=0,"",INDEX($J$3:$N$3,MATCH(P20,J20:N20,0)))</f>
        <v/>
      </c>
      <c r="R20" s="16">
        <f>IF(O20=0,"",AVERAGE(J20:N20))</f>
        <v/>
      </c>
      <c r="S20" s="20">
        <f>IF(O20&lt;2,"",MAX(J20:N20)/P20)</f>
        <v/>
      </c>
      <c r="T20" s="19">
        <f>IF(O20=0,"",G20*P20)</f>
        <v/>
      </c>
      <c r="U20" s="21">
        <f>IF(OR(O20=0,I20=0),"",T20/I20-1)</f>
        <v/>
      </c>
      <c r="V20" s="18">
        <f>IF(O20=0,"PENDENTE",IF(O20&gt;=5,"COMPLETO","PARCIAL"))</f>
        <v/>
      </c>
    </row>
    <row r="21">
      <c r="A21" s="9" t="inlineStr">
        <is>
          <t>PLA-PLACA</t>
        </is>
      </c>
      <c r="B21" s="10" t="inlineStr">
        <is>
          <t>cobertura</t>
        </is>
      </c>
      <c r="C21" s="11" t="inlineStr">
        <is>
          <t>Platibanda: fechamento em placa cimenticia, duas faces</t>
        </is>
      </c>
      <c r="D21" s="10" t="inlineStr">
        <is>
          <t>m2</t>
        </is>
      </c>
      <c r="E21" s="12" t="n">
        <v>71.3</v>
      </c>
      <c r="F21" s="13" t="n">
        <v>0</v>
      </c>
      <c r="G21" s="14">
        <f>E21*(1+F21)</f>
        <v/>
      </c>
      <c r="H21" s="15" t="n">
        <v>62</v>
      </c>
      <c r="I21" s="16">
        <f>G21*H21</f>
        <v/>
      </c>
      <c r="J21" s="17" t="n"/>
      <c r="K21" s="17" t="n"/>
      <c r="L21" s="17" t="n"/>
      <c r="M21" s="17" t="n"/>
      <c r="N21" s="17" t="n"/>
      <c r="O21" s="18">
        <f>COUNT(J21:N21)</f>
        <v/>
      </c>
      <c r="P21" s="19">
        <f>IF(O21=0,"",MIN(J21:N21))</f>
        <v/>
      </c>
      <c r="Q21" s="10">
        <f>IF(O21=0,"",INDEX($J$3:$N$3,MATCH(P21,J21:N21,0)))</f>
        <v/>
      </c>
      <c r="R21" s="16">
        <f>IF(O21=0,"",AVERAGE(J21:N21))</f>
        <v/>
      </c>
      <c r="S21" s="20">
        <f>IF(O21&lt;2,"",MAX(J21:N21)/P21)</f>
        <v/>
      </c>
      <c r="T21" s="19">
        <f>IF(O21=0,"",G21*P21)</f>
        <v/>
      </c>
      <c r="U21" s="21">
        <f>IF(OR(O21=0,I21=0),"",T21/I21-1)</f>
        <v/>
      </c>
      <c r="V21" s="18">
        <f>IF(O21=0,"PENDENTE",IF(O21&gt;=5,"COMPLETO","PARCIAL"))</f>
        <v/>
      </c>
    </row>
    <row r="22">
      <c r="A22" s="9" t="inlineStr">
        <is>
          <t>PLA-GUIA</t>
        </is>
      </c>
      <c r="B22" s="10" t="inlineStr">
        <is>
          <t>cobertura</t>
        </is>
      </c>
      <c r="C22" s="11" t="inlineStr">
        <is>
          <t>Platibanda: guia U 92x38x0,95</t>
        </is>
      </c>
      <c r="D22" s="10" t="inlineStr">
        <is>
          <t>m</t>
        </is>
      </c>
      <c r="E22" s="12" t="n">
        <v>129.6</v>
      </c>
      <c r="F22" s="13" t="n">
        <v>0</v>
      </c>
      <c r="G22" s="14">
        <f>E22*(1+F22)</f>
        <v/>
      </c>
      <c r="H22" s="15" t="n">
        <v>14.1335</v>
      </c>
      <c r="I22" s="16">
        <f>G22*H22</f>
        <v/>
      </c>
      <c r="J22" s="17" t="n"/>
      <c r="K22" s="17" t="n"/>
      <c r="L22" s="17" t="n"/>
      <c r="M22" s="17" t="n"/>
      <c r="N22" s="17" t="n"/>
      <c r="O22" s="18">
        <f>COUNT(J22:N22)</f>
        <v/>
      </c>
      <c r="P22" s="19">
        <f>IF(O22=0,"",MIN(J22:N22))</f>
        <v/>
      </c>
      <c r="Q22" s="10">
        <f>IF(O22=0,"",INDEX($J$3:$N$3,MATCH(P22,J22:N22,0)))</f>
        <v/>
      </c>
      <c r="R22" s="16">
        <f>IF(O22=0,"",AVERAGE(J22:N22))</f>
        <v/>
      </c>
      <c r="S22" s="20">
        <f>IF(O22&lt;2,"",MAX(J22:N22)/P22)</f>
        <v/>
      </c>
      <c r="T22" s="19">
        <f>IF(O22=0,"",G22*P22)</f>
        <v/>
      </c>
      <c r="U22" s="21">
        <f>IF(OR(O22=0,I22=0),"",T22/I22-1)</f>
        <v/>
      </c>
      <c r="V22" s="18">
        <f>IF(O22=0,"PENDENTE",IF(O22&gt;=5,"COMPLETO","PARCIAL"))</f>
        <v/>
      </c>
    </row>
    <row r="23">
      <c r="A23" s="9" t="inlineStr">
        <is>
          <t>COB-PAR</t>
        </is>
      </c>
      <c r="B23" s="10" t="inlineStr">
        <is>
          <t>cobertura</t>
        </is>
      </c>
      <c r="C23" s="11" t="inlineStr">
        <is>
          <t>Parafuso de fixacao do painel</t>
        </is>
      </c>
      <c r="D23" s="10" t="inlineStr">
        <is>
          <t>un</t>
        </is>
      </c>
      <c r="E23" s="12" t="n">
        <v>737</v>
      </c>
      <c r="F23" s="13" t="n">
        <v>0</v>
      </c>
      <c r="G23" s="14">
        <f>E23*(1+F23)</f>
        <v/>
      </c>
      <c r="H23" s="15" t="n">
        <v>1.8</v>
      </c>
      <c r="I23" s="16">
        <f>G23*H23</f>
        <v/>
      </c>
      <c r="J23" s="17" t="n"/>
      <c r="K23" s="17" t="n"/>
      <c r="L23" s="17" t="n"/>
      <c r="M23" s="17" t="n"/>
      <c r="N23" s="17" t="n"/>
      <c r="O23" s="18">
        <f>COUNT(J23:N23)</f>
        <v/>
      </c>
      <c r="P23" s="19">
        <f>IF(O23=0,"",MIN(J23:N23))</f>
        <v/>
      </c>
      <c r="Q23" s="10">
        <f>IF(O23=0,"",INDEX($J$3:$N$3,MATCH(P23,J23:N23,0)))</f>
        <v/>
      </c>
      <c r="R23" s="16">
        <f>IF(O23=0,"",AVERAGE(J23:N23))</f>
        <v/>
      </c>
      <c r="S23" s="20">
        <f>IF(O23&lt;2,"",MAX(J23:N23)/P23)</f>
        <v/>
      </c>
      <c r="T23" s="19">
        <f>IF(O23=0,"",G23*P23)</f>
        <v/>
      </c>
      <c r="U23" s="21">
        <f>IF(OR(O23=0,I23=0),"",T23/I23-1)</f>
        <v/>
      </c>
      <c r="V23" s="18">
        <f>IF(O23=0,"PENDENTE",IF(O23&gt;=5,"COMPLETO","PARCIAL"))</f>
        <v/>
      </c>
    </row>
    <row r="24">
      <c r="A24" s="9" t="inlineStr">
        <is>
          <t>COB-CUME</t>
        </is>
      </c>
      <c r="B24" s="10" t="inlineStr">
        <is>
          <t>cobertura</t>
        </is>
      </c>
      <c r="C24" s="11" t="inlineStr">
        <is>
          <t>Cumeeira</t>
        </is>
      </c>
      <c r="D24" s="10" t="inlineStr">
        <is>
          <t>m</t>
        </is>
      </c>
      <c r="E24" s="12" t="n">
        <v>13.7</v>
      </c>
      <c r="F24" s="13" t="n">
        <v>0</v>
      </c>
      <c r="G24" s="14">
        <f>E24*(1+F24)</f>
        <v/>
      </c>
      <c r="H24" s="15" t="n">
        <v>74</v>
      </c>
      <c r="I24" s="16">
        <f>G24*H24</f>
        <v/>
      </c>
      <c r="J24" s="17" t="n"/>
      <c r="K24" s="17" t="n"/>
      <c r="L24" s="17" t="n"/>
      <c r="M24" s="17" t="n"/>
      <c r="N24" s="17" t="n"/>
      <c r="O24" s="18">
        <f>COUNT(J24:N24)</f>
        <v/>
      </c>
      <c r="P24" s="19">
        <f>IF(O24=0,"",MIN(J24:N24))</f>
        <v/>
      </c>
      <c r="Q24" s="10">
        <f>IF(O24=0,"",INDEX($J$3:$N$3,MATCH(P24,J24:N24,0)))</f>
        <v/>
      </c>
      <c r="R24" s="16">
        <f>IF(O24=0,"",AVERAGE(J24:N24))</f>
        <v/>
      </c>
      <c r="S24" s="20">
        <f>IF(O24&lt;2,"",MAX(J24:N24)/P24)</f>
        <v/>
      </c>
      <c r="T24" s="19">
        <f>IF(O24=0,"",G24*P24)</f>
        <v/>
      </c>
      <c r="U24" s="21">
        <f>IF(OR(O24=0,I24=0),"",T24/I24-1)</f>
        <v/>
      </c>
      <c r="V24" s="18">
        <f>IF(O24=0,"PENDENTE",IF(O24&gt;=5,"COMPLETO","PARCIAL"))</f>
        <v/>
      </c>
    </row>
    <row r="25">
      <c r="A25" s="9" t="inlineStr">
        <is>
          <t>PLA-MONT</t>
        </is>
      </c>
      <c r="B25" s="10" t="inlineStr">
        <is>
          <t>cobertura</t>
        </is>
      </c>
      <c r="C25" s="11" t="inlineStr">
        <is>
          <t>Platibanda: montante Ue 90x40x12x0,95</t>
        </is>
      </c>
      <c r="D25" s="10" t="inlineStr">
        <is>
          <t>m</t>
        </is>
      </c>
      <c r="E25" s="12" t="n">
        <v>60</v>
      </c>
      <c r="F25" s="13" t="n">
        <v>0</v>
      </c>
      <c r="G25" s="14">
        <f>E25*(1+F25)</f>
        <v/>
      </c>
      <c r="H25" s="15" t="n">
        <v>16.1805</v>
      </c>
      <c r="I25" s="16">
        <f>G25*H25</f>
        <v/>
      </c>
      <c r="J25" s="17" t="n"/>
      <c r="K25" s="17" t="n"/>
      <c r="L25" s="17" t="n"/>
      <c r="M25" s="17" t="n"/>
      <c r="N25" s="17" t="n"/>
      <c r="O25" s="18">
        <f>COUNT(J25:N25)</f>
        <v/>
      </c>
      <c r="P25" s="19">
        <f>IF(O25=0,"",MIN(J25:N25))</f>
        <v/>
      </c>
      <c r="Q25" s="10">
        <f>IF(O25=0,"",INDEX($J$3:$N$3,MATCH(P25,J25:N25,0)))</f>
        <v/>
      </c>
      <c r="R25" s="16">
        <f>IF(O25=0,"",AVERAGE(J25:N25))</f>
        <v/>
      </c>
      <c r="S25" s="20">
        <f>IF(O25&lt;2,"",MAX(J25:N25)/P25)</f>
        <v/>
      </c>
      <c r="T25" s="19">
        <f>IF(O25=0,"",G25*P25)</f>
        <v/>
      </c>
      <c r="U25" s="21">
        <f>IF(OR(O25=0,I25=0),"",T25/I25-1)</f>
        <v/>
      </c>
      <c r="V25" s="18">
        <f>IF(O25=0,"PENDENTE",IF(O25&gt;=5,"COMPLETO","PARCIAL"))</f>
        <v/>
      </c>
    </row>
    <row r="26">
      <c r="A26" s="9" t="inlineStr">
        <is>
          <t>ESQ-CAIX</t>
        </is>
      </c>
      <c r="B26" s="10" t="inlineStr">
        <is>
          <t>esquadria</t>
        </is>
      </c>
      <c r="C26" s="11" t="inlineStr">
        <is>
          <t>Caixilho de aluminio</t>
        </is>
      </c>
      <c r="D26" s="10" t="inlineStr">
        <is>
          <t>m</t>
        </is>
      </c>
      <c r="E26" s="12" t="n">
        <v>298.1</v>
      </c>
      <c r="F26" s="13" t="n">
        <v>0</v>
      </c>
      <c r="G26" s="14">
        <f>E26*(1+F26)</f>
        <v/>
      </c>
      <c r="H26" s="15" t="n">
        <v>185</v>
      </c>
      <c r="I26" s="16">
        <f>G26*H26</f>
        <v/>
      </c>
      <c r="J26" s="17" t="n"/>
      <c r="K26" s="17" t="n"/>
      <c r="L26" s="17" t="n"/>
      <c r="M26" s="17" t="n"/>
      <c r="N26" s="17" t="n"/>
      <c r="O26" s="18">
        <f>COUNT(J26:N26)</f>
        <v/>
      </c>
      <c r="P26" s="19">
        <f>IF(O26=0,"",MIN(J26:N26))</f>
        <v/>
      </c>
      <c r="Q26" s="10">
        <f>IF(O26=0,"",INDEX($J$3:$N$3,MATCH(P26,J26:N26,0)))</f>
        <v/>
      </c>
      <c r="R26" s="16">
        <f>IF(O26=0,"",AVERAGE(J26:N26))</f>
        <v/>
      </c>
      <c r="S26" s="20">
        <f>IF(O26&lt;2,"",MAX(J26:N26)/P26)</f>
        <v/>
      </c>
      <c r="T26" s="19">
        <f>IF(O26=0,"",G26*P26)</f>
        <v/>
      </c>
      <c r="U26" s="21">
        <f>IF(OR(O26=0,I26=0),"",T26/I26-1)</f>
        <v/>
      </c>
      <c r="V26" s="18">
        <f>IF(O26=0,"PENDENTE",IF(O26&gt;=5,"COMPLETO","PARCIAL"))</f>
        <v/>
      </c>
    </row>
    <row r="27">
      <c r="A27" s="9" t="inlineStr">
        <is>
          <t>ESQ-VIDRO</t>
        </is>
      </c>
      <c r="B27" s="10" t="inlineStr">
        <is>
          <t>esquadria</t>
        </is>
      </c>
      <c r="C27" s="11" t="inlineStr">
        <is>
          <t>Vidro (ver especificacao por vao)</t>
        </is>
      </c>
      <c r="D27" s="10" t="inlineStr">
        <is>
          <t>m2</t>
        </is>
      </c>
      <c r="E27" s="12" t="n">
        <v>59.64</v>
      </c>
      <c r="F27" s="13" t="n">
        <v>0</v>
      </c>
      <c r="G27" s="14">
        <f>E27*(1+F27)</f>
        <v/>
      </c>
      <c r="H27" s="15" t="n">
        <v>310</v>
      </c>
      <c r="I27" s="16">
        <f>G27*H27</f>
        <v/>
      </c>
      <c r="J27" s="17" t="n"/>
      <c r="K27" s="17" t="n"/>
      <c r="L27" s="17" t="n"/>
      <c r="M27" s="17" t="n"/>
      <c r="N27" s="17" t="n"/>
      <c r="O27" s="18">
        <f>COUNT(J27:N27)</f>
        <v/>
      </c>
      <c r="P27" s="19">
        <f>IF(O27=0,"",MIN(J27:N27))</f>
        <v/>
      </c>
      <c r="Q27" s="10">
        <f>IF(O27=0,"",INDEX($J$3:$N$3,MATCH(P27,J27:N27,0)))</f>
        <v/>
      </c>
      <c r="R27" s="16">
        <f>IF(O27=0,"",AVERAGE(J27:N27))</f>
        <v/>
      </c>
      <c r="S27" s="20">
        <f>IF(O27&lt;2,"",MAX(J27:N27)/P27)</f>
        <v/>
      </c>
      <c r="T27" s="19">
        <f>IF(O27=0,"",G27*P27)</f>
        <v/>
      </c>
      <c r="U27" s="21">
        <f>IF(OR(O27=0,I27=0),"",T27/I27-1)</f>
        <v/>
      </c>
      <c r="V27" s="18">
        <f>IF(O27=0,"PENDENTE",IF(O27&gt;=5,"COMPLETO","PARCIAL"))</f>
        <v/>
      </c>
    </row>
    <row r="28">
      <c r="A28" s="9" t="inlineStr">
        <is>
          <t>FER-TRILHO</t>
        </is>
      </c>
      <c r="B28" s="10" t="inlineStr">
        <is>
          <t>esquadria</t>
        </is>
      </c>
      <c r="C28" s="11" t="inlineStr">
        <is>
          <t>Ferragem: trilho</t>
        </is>
      </c>
      <c r="D28" s="10" t="inlineStr">
        <is>
          <t>m</t>
        </is>
      </c>
      <c r="E28" s="12" t="n">
        <v>45.4</v>
      </c>
      <c r="F28" s="13" t="n">
        <v>0</v>
      </c>
      <c r="G28" s="14">
        <f>E28*(1+F28)</f>
        <v/>
      </c>
      <c r="H28" s="15" t="n">
        <v>96</v>
      </c>
      <c r="I28" s="16">
        <f>G28*H28</f>
        <v/>
      </c>
      <c r="J28" s="17" t="n"/>
      <c r="K28" s="17" t="n"/>
      <c r="L28" s="17" t="n"/>
      <c r="M28" s="17" t="n"/>
      <c r="N28" s="17" t="n"/>
      <c r="O28" s="18">
        <f>COUNT(J28:N28)</f>
        <v/>
      </c>
      <c r="P28" s="19">
        <f>IF(O28=0,"",MIN(J28:N28))</f>
        <v/>
      </c>
      <c r="Q28" s="10">
        <f>IF(O28=0,"",INDEX($J$3:$N$3,MATCH(P28,J28:N28,0)))</f>
        <v/>
      </c>
      <c r="R28" s="16">
        <f>IF(O28=0,"",AVERAGE(J28:N28))</f>
        <v/>
      </c>
      <c r="S28" s="20">
        <f>IF(O28&lt;2,"",MAX(J28:N28)/P28)</f>
        <v/>
      </c>
      <c r="T28" s="19">
        <f>IF(O28=0,"",G28*P28)</f>
        <v/>
      </c>
      <c r="U28" s="21">
        <f>IF(OR(O28=0,I28=0),"",T28/I28-1)</f>
        <v/>
      </c>
      <c r="V28" s="18">
        <f>IF(O28=0,"PENDENTE",IF(O28&gt;=5,"COMPLETO","PARCIAL"))</f>
        <v/>
      </c>
    </row>
    <row r="29">
      <c r="A29" s="9" t="inlineStr">
        <is>
          <t>FER-BATENT</t>
        </is>
      </c>
      <c r="B29" s="10" t="inlineStr">
        <is>
          <t>esquadria</t>
        </is>
      </c>
      <c r="C29" s="11" t="inlineStr">
        <is>
          <t>Ferragem: batente</t>
        </is>
      </c>
      <c r="D29" s="10" t="inlineStr">
        <is>
          <t>un</t>
        </is>
      </c>
      <c r="E29" s="12" t="n">
        <v>14</v>
      </c>
      <c r="F29" s="13" t="n">
        <v>0</v>
      </c>
      <c r="G29" s="14">
        <f>E29*(1+F29)</f>
        <v/>
      </c>
      <c r="H29" s="15" t="n">
        <v>210</v>
      </c>
      <c r="I29" s="16">
        <f>G29*H29</f>
        <v/>
      </c>
      <c r="J29" s="17" t="n"/>
      <c r="K29" s="17" t="n"/>
      <c r="L29" s="17" t="n"/>
      <c r="M29" s="17" t="n"/>
      <c r="N29" s="17" t="n"/>
      <c r="O29" s="18">
        <f>COUNT(J29:N29)</f>
        <v/>
      </c>
      <c r="P29" s="19">
        <f>IF(O29=0,"",MIN(J29:N29))</f>
        <v/>
      </c>
      <c r="Q29" s="10">
        <f>IF(O29=0,"",INDEX($J$3:$N$3,MATCH(P29,J29:N29,0)))</f>
        <v/>
      </c>
      <c r="R29" s="16">
        <f>IF(O29=0,"",AVERAGE(J29:N29))</f>
        <v/>
      </c>
      <c r="S29" s="20">
        <f>IF(O29&lt;2,"",MAX(J29:N29)/P29)</f>
        <v/>
      </c>
      <c r="T29" s="19">
        <f>IF(O29=0,"",G29*P29)</f>
        <v/>
      </c>
      <c r="U29" s="21">
        <f>IF(OR(O29=0,I29=0),"",T29/I29-1)</f>
        <v/>
      </c>
      <c r="V29" s="18">
        <f>IF(O29=0,"PENDENTE",IF(O29&gt;=5,"COMPLETO","PARCIAL"))</f>
        <v/>
      </c>
    </row>
    <row r="30">
      <c r="A30" s="9" t="inlineStr">
        <is>
          <t>FER-FECHO</t>
        </is>
      </c>
      <c r="B30" s="10" t="inlineStr">
        <is>
          <t>esquadria</t>
        </is>
      </c>
      <c r="C30" s="11" t="inlineStr">
        <is>
          <t>Ferragem: fecho</t>
        </is>
      </c>
      <c r="D30" s="10" t="inlineStr">
        <is>
          <t>un</t>
        </is>
      </c>
      <c r="E30" s="12" t="n">
        <v>56</v>
      </c>
      <c r="F30" s="13" t="n">
        <v>0</v>
      </c>
      <c r="G30" s="14">
        <f>E30*(1+F30)</f>
        <v/>
      </c>
      <c r="H30" s="15" t="n">
        <v>42</v>
      </c>
      <c r="I30" s="16">
        <f>G30*H30</f>
        <v/>
      </c>
      <c r="J30" s="17" t="n"/>
      <c r="K30" s="17" t="n"/>
      <c r="L30" s="17" t="n"/>
      <c r="M30" s="17" t="n"/>
      <c r="N30" s="17" t="n"/>
      <c r="O30" s="18">
        <f>COUNT(J30:N30)</f>
        <v/>
      </c>
      <c r="P30" s="19">
        <f>IF(O30=0,"",MIN(J30:N30))</f>
        <v/>
      </c>
      <c r="Q30" s="10">
        <f>IF(O30=0,"",INDEX($J$3:$N$3,MATCH(P30,J30:N30,0)))</f>
        <v/>
      </c>
      <c r="R30" s="16">
        <f>IF(O30=0,"",AVERAGE(J30:N30))</f>
        <v/>
      </c>
      <c r="S30" s="20">
        <f>IF(O30&lt;2,"",MAX(J30:N30)/P30)</f>
        <v/>
      </c>
      <c r="T30" s="19">
        <f>IF(O30=0,"",G30*P30)</f>
        <v/>
      </c>
      <c r="U30" s="21">
        <f>IF(OR(O30=0,I30=0),"",T30/I30-1)</f>
        <v/>
      </c>
      <c r="V30" s="18">
        <f>IF(O30=0,"PENDENTE",IF(O30&gt;=5,"COMPLETO","PARCIAL"))</f>
        <v/>
      </c>
    </row>
    <row r="31">
      <c r="A31" s="9" t="inlineStr">
        <is>
          <t>FER-ROLDAN</t>
        </is>
      </c>
      <c r="B31" s="10" t="inlineStr">
        <is>
          <t>esquadria</t>
        </is>
      </c>
      <c r="C31" s="11" t="inlineStr">
        <is>
          <t>Ferragem: roldana</t>
        </is>
      </c>
      <c r="D31" s="10" t="inlineStr">
        <is>
          <t>un</t>
        </is>
      </c>
      <c r="E31" s="12" t="n">
        <v>116</v>
      </c>
      <c r="F31" s="13" t="n">
        <v>0</v>
      </c>
      <c r="G31" s="14">
        <f>E31*(1+F31)</f>
        <v/>
      </c>
      <c r="H31" s="15" t="n">
        <v>18</v>
      </c>
      <c r="I31" s="16">
        <f>G31*H31</f>
        <v/>
      </c>
      <c r="J31" s="17" t="n"/>
      <c r="K31" s="17" t="n"/>
      <c r="L31" s="17" t="n"/>
      <c r="M31" s="17" t="n"/>
      <c r="N31" s="17" t="n"/>
      <c r="O31" s="18">
        <f>COUNT(J31:N31)</f>
        <v/>
      </c>
      <c r="P31" s="19">
        <f>IF(O31=0,"",MIN(J31:N31))</f>
        <v/>
      </c>
      <c r="Q31" s="10">
        <f>IF(O31=0,"",INDEX($J$3:$N$3,MATCH(P31,J31:N31,0)))</f>
        <v/>
      </c>
      <c r="R31" s="16">
        <f>IF(O31=0,"",AVERAGE(J31:N31))</f>
        <v/>
      </c>
      <c r="S31" s="20">
        <f>IF(O31&lt;2,"",MAX(J31:N31)/P31)</f>
        <v/>
      </c>
      <c r="T31" s="19">
        <f>IF(O31=0,"",G31*P31)</f>
        <v/>
      </c>
      <c r="U31" s="21">
        <f>IF(OR(O31=0,I31=0),"",T31/I31-1)</f>
        <v/>
      </c>
      <c r="V31" s="18">
        <f>IF(O31=0,"PENDENTE",IF(O31&gt;=5,"COMPLETO","PARCIAL"))</f>
        <v/>
      </c>
    </row>
    <row r="32">
      <c r="A32" s="9" t="inlineStr">
        <is>
          <t>FER-FECHAD</t>
        </is>
      </c>
      <c r="B32" s="10" t="inlineStr">
        <is>
          <t>esquadria</t>
        </is>
      </c>
      <c r="C32" s="11" t="inlineStr">
        <is>
          <t>Ferragem: fechadura</t>
        </is>
      </c>
      <c r="D32" s="10" t="inlineStr">
        <is>
          <t>un</t>
        </is>
      </c>
      <c r="E32" s="12" t="n">
        <v>14</v>
      </c>
      <c r="F32" s="13" t="n">
        <v>0</v>
      </c>
      <c r="G32" s="14">
        <f>E32*(1+F32)</f>
        <v/>
      </c>
      <c r="H32" s="15" t="n">
        <v>145</v>
      </c>
      <c r="I32" s="16">
        <f>G32*H32</f>
        <v/>
      </c>
      <c r="J32" s="17" t="n"/>
      <c r="K32" s="17" t="n"/>
      <c r="L32" s="17" t="n"/>
      <c r="M32" s="17" t="n"/>
      <c r="N32" s="17" t="n"/>
      <c r="O32" s="18">
        <f>COUNT(J32:N32)</f>
        <v/>
      </c>
      <c r="P32" s="19">
        <f>IF(O32=0,"",MIN(J32:N32))</f>
        <v/>
      </c>
      <c r="Q32" s="10">
        <f>IF(O32=0,"",INDEX($J$3:$N$3,MATCH(P32,J32:N32,0)))</f>
        <v/>
      </c>
      <c r="R32" s="16">
        <f>IF(O32=0,"",AVERAGE(J32:N32))</f>
        <v/>
      </c>
      <c r="S32" s="20">
        <f>IF(O32&lt;2,"",MAX(J32:N32)/P32)</f>
        <v/>
      </c>
      <c r="T32" s="19">
        <f>IF(O32=0,"",G32*P32)</f>
        <v/>
      </c>
      <c r="U32" s="21">
        <f>IF(OR(O32=0,I32=0),"",T32/I32-1)</f>
        <v/>
      </c>
      <c r="V32" s="18">
        <f>IF(O32=0,"PENDENTE",IF(O32&gt;=5,"COMPLETO","PARCIAL"))</f>
        <v/>
      </c>
    </row>
    <row r="33">
      <c r="A33" s="9" t="inlineStr">
        <is>
          <t>FER-DOBRAD</t>
        </is>
      </c>
      <c r="B33" s="10" t="inlineStr">
        <is>
          <t>esquadria</t>
        </is>
      </c>
      <c r="C33" s="11" t="inlineStr">
        <is>
          <t>Ferragem: dobradica</t>
        </is>
      </c>
      <c r="D33" s="10" t="inlineStr">
        <is>
          <t>un</t>
        </is>
      </c>
      <c r="E33" s="12" t="n">
        <v>42</v>
      </c>
      <c r="F33" s="13" t="n">
        <v>0</v>
      </c>
      <c r="G33" s="14">
        <f>E33*(1+F33)</f>
        <v/>
      </c>
      <c r="H33" s="15" t="n">
        <v>26</v>
      </c>
      <c r="I33" s="16">
        <f>G33*H33</f>
        <v/>
      </c>
      <c r="J33" s="17" t="n"/>
      <c r="K33" s="17" t="n"/>
      <c r="L33" s="17" t="n"/>
      <c r="M33" s="17" t="n"/>
      <c r="N33" s="17" t="n"/>
      <c r="O33" s="18">
        <f>COUNT(J33:N33)</f>
        <v/>
      </c>
      <c r="P33" s="19">
        <f>IF(O33=0,"",MIN(J33:N33))</f>
        <v/>
      </c>
      <c r="Q33" s="10">
        <f>IF(O33=0,"",INDEX($J$3:$N$3,MATCH(P33,J33:N33,0)))</f>
        <v/>
      </c>
      <c r="R33" s="16">
        <f>IF(O33=0,"",AVERAGE(J33:N33))</f>
        <v/>
      </c>
      <c r="S33" s="20">
        <f>IF(O33&lt;2,"",MAX(J33:N33)/P33)</f>
        <v/>
      </c>
      <c r="T33" s="19">
        <f>IF(O33=0,"",G33*P33)</f>
        <v/>
      </c>
      <c r="U33" s="21">
        <f>IF(OR(O33=0,I33=0),"",T33/I33-1)</f>
        <v/>
      </c>
      <c r="V33" s="18">
        <f>IF(O33=0,"PENDENTE",IF(O33&gt;=5,"COMPLETO","PARCIAL"))</f>
        <v/>
      </c>
    </row>
    <row r="34">
      <c r="A34" s="9" t="inlineStr">
        <is>
          <t>FUN-CONC</t>
        </is>
      </c>
      <c r="B34" s="10" t="inlineStr">
        <is>
          <t>fundacao</t>
        </is>
      </c>
      <c r="C34" s="11" t="inlineStr">
        <is>
          <t>Concreto fck 30 MPa</t>
        </is>
      </c>
      <c r="D34" s="10" t="inlineStr">
        <is>
          <t>m3</t>
        </is>
      </c>
      <c r="E34" s="12" t="n">
        <v>37.74</v>
      </c>
      <c r="F34" s="13" t="n">
        <v>0</v>
      </c>
      <c r="G34" s="14">
        <f>E34*(1+F34)</f>
        <v/>
      </c>
      <c r="H34" s="15" t="n">
        <v>520</v>
      </c>
      <c r="I34" s="16">
        <f>G34*H34</f>
        <v/>
      </c>
      <c r="J34" s="17" t="n"/>
      <c r="K34" s="17" t="n"/>
      <c r="L34" s="17" t="n"/>
      <c r="M34" s="17" t="n"/>
      <c r="N34" s="17" t="n"/>
      <c r="O34" s="18">
        <f>COUNT(J34:N34)</f>
        <v/>
      </c>
      <c r="P34" s="19">
        <f>IF(O34=0,"",MIN(J34:N34))</f>
        <v/>
      </c>
      <c r="Q34" s="10">
        <f>IF(O34=0,"",INDEX($J$3:$N$3,MATCH(P34,J34:N34,0)))</f>
        <v/>
      </c>
      <c r="R34" s="16">
        <f>IF(O34=0,"",AVERAGE(J34:N34))</f>
        <v/>
      </c>
      <c r="S34" s="20">
        <f>IF(O34&lt;2,"",MAX(J34:N34)/P34)</f>
        <v/>
      </c>
      <c r="T34" s="19">
        <f>IF(O34=0,"",G34*P34)</f>
        <v/>
      </c>
      <c r="U34" s="21">
        <f>IF(OR(O34=0,I34=0),"",T34/I34-1)</f>
        <v/>
      </c>
      <c r="V34" s="18">
        <f>IF(O34=0,"PENDENTE",IF(O34&gt;=5,"COMPLETO","PARCIAL"))</f>
        <v/>
      </c>
    </row>
    <row r="35">
      <c r="A35" s="9" t="inlineStr">
        <is>
          <t>FUN-ACO</t>
        </is>
      </c>
      <c r="B35" s="10" t="inlineStr">
        <is>
          <t>fundacao</t>
        </is>
      </c>
      <c r="C35" s="11" t="inlineStr">
        <is>
          <t>Aco CA-50 para radier</t>
        </is>
      </c>
      <c r="D35" s="10" t="inlineStr">
        <is>
          <t>kg</t>
        </is>
      </c>
      <c r="E35" s="12" t="n">
        <v>1530.2</v>
      </c>
      <c r="F35" s="13" t="n">
        <v>0</v>
      </c>
      <c r="G35" s="14">
        <f>E35*(1+F35)</f>
        <v/>
      </c>
      <c r="H35" s="15" t="n">
        <v>9.800000000000001</v>
      </c>
      <c r="I35" s="16">
        <f>G35*H35</f>
        <v/>
      </c>
      <c r="J35" s="17" t="n"/>
      <c r="K35" s="17" t="n"/>
      <c r="L35" s="17" t="n"/>
      <c r="M35" s="17" t="n"/>
      <c r="N35" s="17" t="n"/>
      <c r="O35" s="18">
        <f>COUNT(J35:N35)</f>
        <v/>
      </c>
      <c r="P35" s="19">
        <f>IF(O35=0,"",MIN(J35:N35))</f>
        <v/>
      </c>
      <c r="Q35" s="10">
        <f>IF(O35=0,"",INDEX($J$3:$N$3,MATCH(P35,J35:N35,0)))</f>
        <v/>
      </c>
      <c r="R35" s="16">
        <f>IF(O35=0,"",AVERAGE(J35:N35))</f>
        <v/>
      </c>
      <c r="S35" s="20">
        <f>IF(O35&lt;2,"",MAX(J35:N35)/P35)</f>
        <v/>
      </c>
      <c r="T35" s="19">
        <f>IF(O35=0,"",G35*P35)</f>
        <v/>
      </c>
      <c r="U35" s="21">
        <f>IF(OR(O35=0,I35=0),"",T35/I35-1)</f>
        <v/>
      </c>
      <c r="V35" s="18">
        <f>IF(O35=0,"PENDENTE",IF(O35&gt;=5,"COMPLETO","PARCIAL"))</f>
        <v/>
      </c>
    </row>
    <row r="36">
      <c r="A36" s="9" t="inlineStr">
        <is>
          <t>FUN-SUBST</t>
        </is>
      </c>
      <c r="B36" s="10" t="inlineStr">
        <is>
          <t>fundacao</t>
        </is>
      </c>
      <c r="C36" s="11" t="inlineStr">
        <is>
          <t>Substituicao: areia grossa com brita graduada</t>
        </is>
      </c>
      <c r="D36" s="10" t="inlineStr">
        <is>
          <t>m3</t>
        </is>
      </c>
      <c r="E36" s="12" t="n">
        <v>109.1</v>
      </c>
      <c r="F36" s="13" t="n">
        <v>0</v>
      </c>
      <c r="G36" s="14">
        <f>E36*(1+F36)</f>
        <v/>
      </c>
      <c r="H36" s="15" t="n">
        <v>128</v>
      </c>
      <c r="I36" s="16">
        <f>G36*H36</f>
        <v/>
      </c>
      <c r="J36" s="17" t="n"/>
      <c r="K36" s="17" t="n"/>
      <c r="L36" s="17" t="n"/>
      <c r="M36" s="17" t="n"/>
      <c r="N36" s="17" t="n"/>
      <c r="O36" s="18">
        <f>COUNT(J36:N36)</f>
        <v/>
      </c>
      <c r="P36" s="19">
        <f>IF(O36=0,"",MIN(J36:N36))</f>
        <v/>
      </c>
      <c r="Q36" s="10">
        <f>IF(O36=0,"",INDEX($J$3:$N$3,MATCH(P36,J36:N36,0)))</f>
        <v/>
      </c>
      <c r="R36" s="16">
        <f>IF(O36=0,"",AVERAGE(J36:N36))</f>
        <v/>
      </c>
      <c r="S36" s="20">
        <f>IF(O36&lt;2,"",MAX(J36:N36)/P36)</f>
        <v/>
      </c>
      <c r="T36" s="19">
        <f>IF(O36=0,"",G36*P36)</f>
        <v/>
      </c>
      <c r="U36" s="21">
        <f>IF(OR(O36=0,I36=0),"",T36/I36-1)</f>
        <v/>
      </c>
      <c r="V36" s="18">
        <f>IF(O36=0,"PENDENTE",IF(O36&gt;=5,"COMPLETO","PARCIAL"))</f>
        <v/>
      </c>
    </row>
    <row r="37">
      <c r="A37" s="9" t="inlineStr">
        <is>
          <t>FUN-TELA</t>
        </is>
      </c>
      <c r="B37" s="10" t="inlineStr">
        <is>
          <t>fundacao</t>
        </is>
      </c>
      <c r="C37" s="11" t="inlineStr">
        <is>
          <t>Tela soldada Q196</t>
        </is>
      </c>
      <c r="D37" s="10" t="inlineStr">
        <is>
          <t>m2</t>
        </is>
      </c>
      <c r="E37" s="12" t="n">
        <v>410</v>
      </c>
      <c r="F37" s="13" t="n">
        <v>0</v>
      </c>
      <c r="G37" s="14">
        <f>E37*(1+F37)</f>
        <v/>
      </c>
      <c r="H37" s="15" t="n">
        <v>28</v>
      </c>
      <c r="I37" s="16">
        <f>G37*H37</f>
        <v/>
      </c>
      <c r="J37" s="17" t="n"/>
      <c r="K37" s="17" t="n"/>
      <c r="L37" s="17" t="n"/>
      <c r="M37" s="17" t="n"/>
      <c r="N37" s="17" t="n"/>
      <c r="O37" s="18">
        <f>COUNT(J37:N37)</f>
        <v/>
      </c>
      <c r="P37" s="19">
        <f>IF(O37=0,"",MIN(J37:N37))</f>
        <v/>
      </c>
      <c r="Q37" s="10">
        <f>IF(O37=0,"",INDEX($J$3:$N$3,MATCH(P37,J37:N37,0)))</f>
        <v/>
      </c>
      <c r="R37" s="16">
        <f>IF(O37=0,"",AVERAGE(J37:N37))</f>
        <v/>
      </c>
      <c r="S37" s="20">
        <f>IF(O37&lt;2,"",MAX(J37:N37)/P37)</f>
        <v/>
      </c>
      <c r="T37" s="19">
        <f>IF(O37=0,"",G37*P37)</f>
        <v/>
      </c>
      <c r="U37" s="21">
        <f>IF(OR(O37=0,I37=0),"",T37/I37-1)</f>
        <v/>
      </c>
      <c r="V37" s="18">
        <f>IF(O37=0,"PENDENTE",IF(O37&gt;=5,"COMPLETO","PARCIAL"))</f>
        <v/>
      </c>
    </row>
    <row r="38">
      <c r="A38" s="9" t="inlineStr">
        <is>
          <t>FUN-BOTA</t>
        </is>
      </c>
      <c r="B38" s="10" t="inlineStr">
        <is>
          <t>fundacao</t>
        </is>
      </c>
      <c r="C38" s="11" t="inlineStr">
        <is>
          <t>Bota-fora do material escavado (empolado 25 %)</t>
        </is>
      </c>
      <c r="D38" s="10" t="inlineStr">
        <is>
          <t>m3</t>
        </is>
      </c>
      <c r="E38" s="12" t="n">
        <v>163.6</v>
      </c>
      <c r="F38" s="13" t="n">
        <v>0</v>
      </c>
      <c r="G38" s="14">
        <f>E38*(1+F38)</f>
        <v/>
      </c>
      <c r="H38" s="15" t="n">
        <v>46</v>
      </c>
      <c r="I38" s="16">
        <f>G38*H38</f>
        <v/>
      </c>
      <c r="J38" s="17" t="n"/>
      <c r="K38" s="17" t="n"/>
      <c r="L38" s="17" t="n"/>
      <c r="M38" s="17" t="n"/>
      <c r="N38" s="17" t="n"/>
      <c r="O38" s="18">
        <f>COUNT(J38:N38)</f>
        <v/>
      </c>
      <c r="P38" s="19">
        <f>IF(O38=0,"",MIN(J38:N38))</f>
        <v/>
      </c>
      <c r="Q38" s="10">
        <f>IF(O38=0,"",INDEX($J$3:$N$3,MATCH(P38,J38:N38,0)))</f>
        <v/>
      </c>
      <c r="R38" s="16">
        <f>IF(O38=0,"",AVERAGE(J38:N38))</f>
        <v/>
      </c>
      <c r="S38" s="20">
        <f>IF(O38&lt;2,"",MAX(J38:N38)/P38)</f>
        <v/>
      </c>
      <c r="T38" s="19">
        <f>IF(O38=0,"",G38*P38)</f>
        <v/>
      </c>
      <c r="U38" s="21">
        <f>IF(OR(O38=0,I38=0),"",T38/I38-1)</f>
        <v/>
      </c>
      <c r="V38" s="18">
        <f>IF(O38=0,"PENDENTE",IF(O38&gt;=5,"COMPLETO","PARCIAL"))</f>
        <v/>
      </c>
    </row>
    <row r="39">
      <c r="A39" s="9" t="inlineStr">
        <is>
          <t>FUN-ESCAV</t>
        </is>
      </c>
      <c r="B39" s="10" t="inlineStr">
        <is>
          <t>fundacao</t>
        </is>
      </c>
      <c r="C39" s="11" t="inlineStr">
        <is>
          <t>Escavacao do aterro superficial reprovado</t>
        </is>
      </c>
      <c r="D39" s="10" t="inlineStr">
        <is>
          <t>m3</t>
        </is>
      </c>
      <c r="E39" s="12" t="n">
        <v>130.9</v>
      </c>
      <c r="F39" s="13" t="n">
        <v>0</v>
      </c>
      <c r="G39" s="14">
        <f>E39*(1+F39)</f>
        <v/>
      </c>
      <c r="H39" s="15" t="n">
        <v>38</v>
      </c>
      <c r="I39" s="16">
        <f>G39*H39</f>
        <v/>
      </c>
      <c r="J39" s="17" t="n"/>
      <c r="K39" s="17" t="n"/>
      <c r="L39" s="17" t="n"/>
      <c r="M39" s="17" t="n"/>
      <c r="N39" s="17" t="n"/>
      <c r="O39" s="18">
        <f>COUNT(J39:N39)</f>
        <v/>
      </c>
      <c r="P39" s="19">
        <f>IF(O39=0,"",MIN(J39:N39))</f>
        <v/>
      </c>
      <c r="Q39" s="10">
        <f>IF(O39=0,"",INDEX($J$3:$N$3,MATCH(P39,J39:N39,0)))</f>
        <v/>
      </c>
      <c r="R39" s="16">
        <f>IF(O39=0,"",AVERAGE(J39:N39))</f>
        <v/>
      </c>
      <c r="S39" s="20">
        <f>IF(O39&lt;2,"",MAX(J39:N39)/P39)</f>
        <v/>
      </c>
      <c r="T39" s="19">
        <f>IF(O39=0,"",G39*P39)</f>
        <v/>
      </c>
      <c r="U39" s="21">
        <f>IF(OR(O39=0,I39=0),"",T39/I39-1)</f>
        <v/>
      </c>
      <c r="V39" s="18">
        <f>IF(O39=0,"PENDENTE",IF(O39&gt;=5,"COMPLETO","PARCIAL"))</f>
        <v/>
      </c>
    </row>
    <row r="40">
      <c r="A40" s="9" t="inlineStr">
        <is>
          <t>FUN-LASTRO</t>
        </is>
      </c>
      <c r="B40" s="10" t="inlineStr">
        <is>
          <t>fundacao</t>
        </is>
      </c>
      <c r="C40" s="11" t="inlineStr">
        <is>
          <t>Lastro de brita graduada</t>
        </is>
      </c>
      <c r="D40" s="10" t="inlineStr">
        <is>
          <t>m3</t>
        </is>
      </c>
      <c r="E40" s="12" t="n">
        <v>21.8</v>
      </c>
      <c r="F40" s="13" t="n">
        <v>0</v>
      </c>
      <c r="G40" s="14">
        <f>E40*(1+F40)</f>
        <v/>
      </c>
      <c r="H40" s="15" t="n">
        <v>145</v>
      </c>
      <c r="I40" s="16">
        <f>G40*H40</f>
        <v/>
      </c>
      <c r="J40" s="17" t="n"/>
      <c r="K40" s="17" t="n"/>
      <c r="L40" s="17" t="n"/>
      <c r="M40" s="17" t="n"/>
      <c r="N40" s="17" t="n"/>
      <c r="O40" s="18">
        <f>COUNT(J40:N40)</f>
        <v/>
      </c>
      <c r="P40" s="19">
        <f>IF(O40=0,"",MIN(J40:N40))</f>
        <v/>
      </c>
      <c r="Q40" s="10">
        <f>IF(O40=0,"",INDEX($J$3:$N$3,MATCH(P40,J40:N40,0)))</f>
        <v/>
      </c>
      <c r="R40" s="16">
        <f>IF(O40=0,"",AVERAGE(J40:N40))</f>
        <v/>
      </c>
      <c r="S40" s="20">
        <f>IF(O40&lt;2,"",MAX(J40:N40)/P40)</f>
        <v/>
      </c>
      <c r="T40" s="19">
        <f>IF(O40=0,"",G40*P40)</f>
        <v/>
      </c>
      <c r="U40" s="21">
        <f>IF(OR(O40=0,I40=0),"",T40/I40-1)</f>
        <v/>
      </c>
      <c r="V40" s="18">
        <f>IF(O40=0,"PENDENTE",IF(O40&gt;=5,"COMPLETO","PARCIAL"))</f>
        <v/>
      </c>
    </row>
    <row r="41">
      <c r="A41" s="9" t="inlineStr">
        <is>
          <t>FUN-COMP</t>
        </is>
      </c>
      <c r="B41" s="10" t="inlineStr">
        <is>
          <t>fundacao</t>
        </is>
      </c>
      <c r="C41" s="11" t="inlineStr">
        <is>
          <t>Compactacao controlada, camadas de 250 mm</t>
        </is>
      </c>
      <c r="D41" s="10" t="inlineStr">
        <is>
          <t>m3</t>
        </is>
      </c>
      <c r="E41" s="12" t="n">
        <v>109.1</v>
      </c>
      <c r="F41" s="13" t="n">
        <v>0</v>
      </c>
      <c r="G41" s="14">
        <f>E41*(1+F41)</f>
        <v/>
      </c>
      <c r="H41" s="15" t="n">
        <v>22</v>
      </c>
      <c r="I41" s="16">
        <f>G41*H41</f>
        <v/>
      </c>
      <c r="J41" s="17" t="n"/>
      <c r="K41" s="17" t="n"/>
      <c r="L41" s="17" t="n"/>
      <c r="M41" s="17" t="n"/>
      <c r="N41" s="17" t="n"/>
      <c r="O41" s="18">
        <f>COUNT(J41:N41)</f>
        <v/>
      </c>
      <c r="P41" s="19">
        <f>IF(O41=0,"",MIN(J41:N41))</f>
        <v/>
      </c>
      <c r="Q41" s="10">
        <f>IF(O41=0,"",INDEX($J$3:$N$3,MATCH(P41,J41:N41,0)))</f>
        <v/>
      </c>
      <c r="R41" s="16">
        <f>IF(O41=0,"",AVERAGE(J41:N41))</f>
        <v/>
      </c>
      <c r="S41" s="20">
        <f>IF(O41&lt;2,"",MAX(J41:N41)/P41)</f>
        <v/>
      </c>
      <c r="T41" s="19">
        <f>IF(O41=0,"",G41*P41)</f>
        <v/>
      </c>
      <c r="U41" s="21">
        <f>IF(OR(O41=0,I41=0),"",T41/I41-1)</f>
        <v/>
      </c>
      <c r="V41" s="18">
        <f>IF(O41=0,"PENDENTE",IF(O41&gt;=5,"COMPLETO","PARCIAL"))</f>
        <v/>
      </c>
    </row>
    <row r="42">
      <c r="A42" s="9" t="inlineStr">
        <is>
          <t>FUN-FORMA</t>
        </is>
      </c>
      <c r="B42" s="10" t="inlineStr">
        <is>
          <t>fundacao</t>
        </is>
      </c>
      <c r="C42" s="11" t="inlineStr">
        <is>
          <t>Forma de borda e engrossamento do perimetro</t>
        </is>
      </c>
      <c r="D42" s="10" t="inlineStr">
        <is>
          <t>m2</t>
        </is>
      </c>
      <c r="E42" s="12" t="n">
        <v>25.4</v>
      </c>
      <c r="F42" s="13" t="n">
        <v>0</v>
      </c>
      <c r="G42" s="14">
        <f>E42*(1+F42)</f>
        <v/>
      </c>
      <c r="H42" s="15" t="n">
        <v>68</v>
      </c>
      <c r="I42" s="16">
        <f>G42*H42</f>
        <v/>
      </c>
      <c r="J42" s="17" t="n"/>
      <c r="K42" s="17" t="n"/>
      <c r="L42" s="17" t="n"/>
      <c r="M42" s="17" t="n"/>
      <c r="N42" s="17" t="n"/>
      <c r="O42" s="18">
        <f>COUNT(J42:N42)</f>
        <v/>
      </c>
      <c r="P42" s="19">
        <f>IF(O42=0,"",MIN(J42:N42))</f>
        <v/>
      </c>
      <c r="Q42" s="10">
        <f>IF(O42=0,"",INDEX($J$3:$N$3,MATCH(P42,J42:N42,0)))</f>
        <v/>
      </c>
      <c r="R42" s="16">
        <f>IF(O42=0,"",AVERAGE(J42:N42))</f>
        <v/>
      </c>
      <c r="S42" s="20">
        <f>IF(O42&lt;2,"",MAX(J42:N42)/P42)</f>
        <v/>
      </c>
      <c r="T42" s="19">
        <f>IF(O42=0,"",G42*P42)</f>
        <v/>
      </c>
      <c r="U42" s="21">
        <f>IF(OR(O42=0,I42=0),"",T42/I42-1)</f>
        <v/>
      </c>
      <c r="V42" s="18">
        <f>IF(O42=0,"PENDENTE",IF(O42&gt;=5,"COMPLETO","PARCIAL"))</f>
        <v/>
      </c>
    </row>
    <row r="43">
      <c r="A43" s="9" t="inlineStr">
        <is>
          <t>FUN-ENSAIO</t>
        </is>
      </c>
      <c r="B43" s="10" t="inlineStr">
        <is>
          <t>fundacao</t>
        </is>
      </c>
      <c r="C43" s="11" t="inlineStr">
        <is>
          <t>Ensaio de densidade in situ por camada</t>
        </is>
      </c>
      <c r="D43" s="10" t="inlineStr">
        <is>
          <t>un</t>
        </is>
      </c>
      <c r="E43" s="12" t="n">
        <v>4</v>
      </c>
      <c r="F43" s="13" t="n">
        <v>0</v>
      </c>
      <c r="G43" s="14">
        <f>E43*(1+F43)</f>
        <v/>
      </c>
      <c r="H43" s="15" t="n">
        <v>380</v>
      </c>
      <c r="I43" s="16">
        <f>G43*H43</f>
        <v/>
      </c>
      <c r="J43" s="17" t="n"/>
      <c r="K43" s="17" t="n"/>
      <c r="L43" s="17" t="n"/>
      <c r="M43" s="17" t="n"/>
      <c r="N43" s="17" t="n"/>
      <c r="O43" s="18">
        <f>COUNT(J43:N43)</f>
        <v/>
      </c>
      <c r="P43" s="19">
        <f>IF(O43=0,"",MIN(J43:N43))</f>
        <v/>
      </c>
      <c r="Q43" s="10">
        <f>IF(O43=0,"",INDEX($J$3:$N$3,MATCH(P43,J43:N43,0)))</f>
        <v/>
      </c>
      <c r="R43" s="16">
        <f>IF(O43=0,"",AVERAGE(J43:N43))</f>
        <v/>
      </c>
      <c r="S43" s="20">
        <f>IF(O43&lt;2,"",MAX(J43:N43)/P43)</f>
        <v/>
      </c>
      <c r="T43" s="19">
        <f>IF(O43=0,"",G43*P43)</f>
        <v/>
      </c>
      <c r="U43" s="21">
        <f>IF(OR(O43=0,I43=0),"",T43/I43-1)</f>
        <v/>
      </c>
      <c r="V43" s="18">
        <f>IF(O43=0,"PENDENTE",IF(O43&gt;=5,"COMPLETO","PARCIAL"))</f>
        <v/>
      </c>
    </row>
    <row r="44">
      <c r="A44" s="9" t="inlineStr">
        <is>
          <t>FUN-LONA</t>
        </is>
      </c>
      <c r="B44" s="10" t="inlineStr">
        <is>
          <t>fundacao</t>
        </is>
      </c>
      <c r="C44" s="11" t="inlineStr">
        <is>
          <t>Lona plastica sob o radier</t>
        </is>
      </c>
      <c r="D44" s="10" t="inlineStr">
        <is>
          <t>m2</t>
        </is>
      </c>
      <c r="E44" s="12" t="n">
        <v>205</v>
      </c>
      <c r="F44" s="13" t="n">
        <v>0</v>
      </c>
      <c r="G44" s="14">
        <f>E44*(1+F44)</f>
        <v/>
      </c>
      <c r="H44" s="15" t="n">
        <v>4.5</v>
      </c>
      <c r="I44" s="16">
        <f>G44*H44</f>
        <v/>
      </c>
      <c r="J44" s="17" t="n"/>
      <c r="K44" s="17" t="n"/>
      <c r="L44" s="17" t="n"/>
      <c r="M44" s="17" t="n"/>
      <c r="N44" s="17" t="n"/>
      <c r="O44" s="18">
        <f>COUNT(J44:N44)</f>
        <v/>
      </c>
      <c r="P44" s="19">
        <f>IF(O44=0,"",MIN(J44:N44))</f>
        <v/>
      </c>
      <c r="Q44" s="10">
        <f>IF(O44=0,"",INDEX($J$3:$N$3,MATCH(P44,J44:N44,0)))</f>
        <v/>
      </c>
      <c r="R44" s="16">
        <f>IF(O44=0,"",AVERAGE(J44:N44))</f>
        <v/>
      </c>
      <c r="S44" s="20">
        <f>IF(O44&lt;2,"",MAX(J44:N44)/P44)</f>
        <v/>
      </c>
      <c r="T44" s="19">
        <f>IF(O44=0,"",G44*P44)</f>
        <v/>
      </c>
      <c r="U44" s="21">
        <f>IF(OR(O44=0,I44=0),"",T44/I44-1)</f>
        <v/>
      </c>
      <c r="V44" s="18">
        <f>IF(O44=0,"PENDENTE",IF(O44&gt;=5,"COMPLETO","PARCIAL"))</f>
        <v/>
      </c>
    </row>
    <row r="45">
      <c r="A45" s="9" t="inlineStr">
        <is>
          <t>MEP-CABO</t>
        </is>
      </c>
      <c r="B45" s="10" t="inlineStr">
        <is>
          <t>instalacao</t>
        </is>
      </c>
      <c r="C45" s="11" t="inlineStr">
        <is>
          <t>Cabo de cobre (fase, neutro e terra)</t>
        </is>
      </c>
      <c r="D45" s="10" t="inlineStr">
        <is>
          <t>m</t>
        </is>
      </c>
      <c r="E45" s="12" t="n">
        <v>2834.4</v>
      </c>
      <c r="F45" s="13" t="n">
        <v>0</v>
      </c>
      <c r="G45" s="14">
        <f>E45*(1+F45)</f>
        <v/>
      </c>
      <c r="H45" s="15" t="n">
        <v>4.2</v>
      </c>
      <c r="I45" s="16">
        <f>G45*H45</f>
        <v/>
      </c>
      <c r="J45" s="17" t="n"/>
      <c r="K45" s="17" t="n"/>
      <c r="L45" s="17" t="n"/>
      <c r="M45" s="17" t="n"/>
      <c r="N45" s="17" t="n"/>
      <c r="O45" s="18">
        <f>COUNT(J45:N45)</f>
        <v/>
      </c>
      <c r="P45" s="19">
        <f>IF(O45=0,"",MIN(J45:N45))</f>
        <v/>
      </c>
      <c r="Q45" s="10">
        <f>IF(O45=0,"",INDEX($J$3:$N$3,MATCH(P45,J45:N45,0)))</f>
        <v/>
      </c>
      <c r="R45" s="16">
        <f>IF(O45=0,"",AVERAGE(J45:N45))</f>
        <v/>
      </c>
      <c r="S45" s="20">
        <f>IF(O45&lt;2,"",MAX(J45:N45)/P45)</f>
        <v/>
      </c>
      <c r="T45" s="19">
        <f>IF(O45=0,"",G45*P45)</f>
        <v/>
      </c>
      <c r="U45" s="21">
        <f>IF(OR(O45=0,I45=0),"",T45/I45-1)</f>
        <v/>
      </c>
      <c r="V45" s="18">
        <f>IF(O45=0,"PENDENTE",IF(O45&gt;=5,"COMPLETO","PARCIAL"))</f>
        <v/>
      </c>
    </row>
    <row r="46">
      <c r="A46" s="9" t="inlineStr">
        <is>
          <t>MEP-ELET</t>
        </is>
      </c>
      <c r="B46" s="10" t="inlineStr">
        <is>
          <t>instalacao</t>
        </is>
      </c>
      <c r="C46" s="11" t="inlineStr">
        <is>
          <t>Eletroduto flexivel</t>
        </is>
      </c>
      <c r="D46" s="10" t="inlineStr">
        <is>
          <t>m</t>
        </is>
      </c>
      <c r="E46" s="12" t="n">
        <v>885.8</v>
      </c>
      <c r="F46" s="13" t="n">
        <v>0</v>
      </c>
      <c r="G46" s="14">
        <f>E46*(1+F46)</f>
        <v/>
      </c>
      <c r="H46" s="15" t="n">
        <v>6.5</v>
      </c>
      <c r="I46" s="16">
        <f>G46*H46</f>
        <v/>
      </c>
      <c r="J46" s="17" t="n"/>
      <c r="K46" s="17" t="n"/>
      <c r="L46" s="17" t="n"/>
      <c r="M46" s="17" t="n"/>
      <c r="N46" s="17" t="n"/>
      <c r="O46" s="18">
        <f>COUNT(J46:N46)</f>
        <v/>
      </c>
      <c r="P46" s="19">
        <f>IF(O46=0,"",MIN(J46:N46))</f>
        <v/>
      </c>
      <c r="Q46" s="10">
        <f>IF(O46=0,"",INDEX($J$3:$N$3,MATCH(P46,J46:N46,0)))</f>
        <v/>
      </c>
      <c r="R46" s="16">
        <f>IF(O46=0,"",AVERAGE(J46:N46))</f>
        <v/>
      </c>
      <c r="S46" s="20">
        <f>IF(O46&lt;2,"",MAX(J46:N46)/P46)</f>
        <v/>
      </c>
      <c r="T46" s="19">
        <f>IF(O46=0,"",G46*P46)</f>
        <v/>
      </c>
      <c r="U46" s="21">
        <f>IF(OR(O46=0,I46=0),"",T46/I46-1)</f>
        <v/>
      </c>
      <c r="V46" s="18">
        <f>IF(O46=0,"PENDENTE",IF(O46&gt;=5,"COMPLETO","PARCIAL"))</f>
        <v/>
      </c>
    </row>
    <row r="47">
      <c r="A47" s="9" t="inlineStr">
        <is>
          <t>MEP-FRIGO</t>
        </is>
      </c>
      <c r="B47" s="10" t="inlineStr">
        <is>
          <t>instalacao</t>
        </is>
      </c>
      <c r="C47" s="11" t="inlineStr">
        <is>
          <t>Linha frigorigena</t>
        </is>
      </c>
      <c r="D47" s="10" t="inlineStr">
        <is>
          <t>m</t>
        </is>
      </c>
      <c r="E47" s="12" t="n">
        <v>56</v>
      </c>
      <c r="F47" s="13" t="n">
        <v>0</v>
      </c>
      <c r="G47" s="14">
        <f>E47*(1+F47)</f>
        <v/>
      </c>
      <c r="H47" s="15" t="n">
        <v>62</v>
      </c>
      <c r="I47" s="16">
        <f>G47*H47</f>
        <v/>
      </c>
      <c r="J47" s="17" t="n"/>
      <c r="K47" s="17" t="n"/>
      <c r="L47" s="17" t="n"/>
      <c r="M47" s="17" t="n"/>
      <c r="N47" s="17" t="n"/>
      <c r="O47" s="18">
        <f>COUNT(J47:N47)</f>
        <v/>
      </c>
      <c r="P47" s="19">
        <f>IF(O47=0,"",MIN(J47:N47))</f>
        <v/>
      </c>
      <c r="Q47" s="10">
        <f>IF(O47=0,"",INDEX($J$3:$N$3,MATCH(P47,J47:N47,0)))</f>
        <v/>
      </c>
      <c r="R47" s="16">
        <f>IF(O47=0,"",AVERAGE(J47:N47))</f>
        <v/>
      </c>
      <c r="S47" s="20">
        <f>IF(O47&lt;2,"",MAX(J47:N47)/P47)</f>
        <v/>
      </c>
      <c r="T47" s="19">
        <f>IF(O47=0,"",G47*P47)</f>
        <v/>
      </c>
      <c r="U47" s="21">
        <f>IF(OR(O47=0,I47=0),"",T47/I47-1)</f>
        <v/>
      </c>
      <c r="V47" s="18">
        <f>IF(O47=0,"PENDENTE",IF(O47&gt;=5,"COMPLETO","PARCIAL"))</f>
        <v/>
      </c>
    </row>
    <row r="48">
      <c r="A48" s="9" t="inlineStr">
        <is>
          <t>MEP-AGUA25</t>
        </is>
      </c>
      <c r="B48" s="10" t="inlineStr">
        <is>
          <t>instalacao</t>
        </is>
      </c>
      <c r="C48" s="11" t="inlineStr">
        <is>
          <t>Tubo agua fria DN25</t>
        </is>
      </c>
      <c r="D48" s="10" t="inlineStr">
        <is>
          <t>m</t>
        </is>
      </c>
      <c r="E48" s="12" t="n">
        <v>188.1</v>
      </c>
      <c r="F48" s="13" t="n">
        <v>0</v>
      </c>
      <c r="G48" s="14">
        <f>E48*(1+F48)</f>
        <v/>
      </c>
      <c r="H48" s="15" t="n">
        <v>18</v>
      </c>
      <c r="I48" s="16">
        <f>G48*H48</f>
        <v/>
      </c>
      <c r="J48" s="17" t="n"/>
      <c r="K48" s="17" t="n"/>
      <c r="L48" s="17" t="n"/>
      <c r="M48" s="17" t="n"/>
      <c r="N48" s="17" t="n"/>
      <c r="O48" s="18">
        <f>COUNT(J48:N48)</f>
        <v/>
      </c>
      <c r="P48" s="19">
        <f>IF(O48=0,"",MIN(J48:N48))</f>
        <v/>
      </c>
      <c r="Q48" s="10">
        <f>IF(O48=0,"",INDEX($J$3:$N$3,MATCH(P48,J48:N48,0)))</f>
        <v/>
      </c>
      <c r="R48" s="16">
        <f>IF(O48=0,"",AVERAGE(J48:N48))</f>
        <v/>
      </c>
      <c r="S48" s="20">
        <f>IF(O48&lt;2,"",MAX(J48:N48)/P48)</f>
        <v/>
      </c>
      <c r="T48" s="19">
        <f>IF(O48=0,"",G48*P48)</f>
        <v/>
      </c>
      <c r="U48" s="21">
        <f>IF(OR(O48=0,I48=0),"",T48/I48-1)</f>
        <v/>
      </c>
      <c r="V48" s="18">
        <f>IF(O48=0,"PENDENTE",IF(O48&gt;=5,"COMPLETO","PARCIAL"))</f>
        <v/>
      </c>
    </row>
    <row r="49">
      <c r="A49" s="9" t="inlineStr">
        <is>
          <t>MEP-CONEX</t>
        </is>
      </c>
      <c r="B49" s="10" t="inlineStr">
        <is>
          <t>instalacao</t>
        </is>
      </c>
      <c r="C49" s="11" t="inlineStr">
        <is>
          <t>Conexoes hidraulicas</t>
        </is>
      </c>
      <c r="D49" s="10" t="inlineStr">
        <is>
          <t>un</t>
        </is>
      </c>
      <c r="E49" s="12" t="n">
        <v>190</v>
      </c>
      <c r="F49" s="13" t="n">
        <v>0</v>
      </c>
      <c r="G49" s="14">
        <f>E49*(1+F49)</f>
        <v/>
      </c>
      <c r="H49" s="15" t="n">
        <v>12</v>
      </c>
      <c r="I49" s="16">
        <f>G49*H49</f>
        <v/>
      </c>
      <c r="J49" s="17" t="n"/>
      <c r="K49" s="17" t="n"/>
      <c r="L49" s="17" t="n"/>
      <c r="M49" s="17" t="n"/>
      <c r="N49" s="17" t="n"/>
      <c r="O49" s="18">
        <f>COUNT(J49:N49)</f>
        <v/>
      </c>
      <c r="P49" s="19">
        <f>IF(O49=0,"",MIN(J49:N49))</f>
        <v/>
      </c>
      <c r="Q49" s="10">
        <f>IF(O49=0,"",INDEX($J$3:$N$3,MATCH(P49,J49:N49,0)))</f>
        <v/>
      </c>
      <c r="R49" s="16">
        <f>IF(O49=0,"",AVERAGE(J49:N49))</f>
        <v/>
      </c>
      <c r="S49" s="20">
        <f>IF(O49&lt;2,"",MAX(J49:N49)/P49)</f>
        <v/>
      </c>
      <c r="T49" s="19">
        <f>IF(O49=0,"",G49*P49)</f>
        <v/>
      </c>
      <c r="U49" s="21">
        <f>IF(OR(O49=0,I49=0),"",T49/I49-1)</f>
        <v/>
      </c>
      <c r="V49" s="18">
        <f>IF(O49=0,"PENDENTE",IF(O49&gt;=5,"COMPLETO","PARCIAL"))</f>
        <v/>
      </c>
    </row>
    <row r="50">
      <c r="A50" s="9" t="inlineStr">
        <is>
          <t>MEP-ESGO40</t>
        </is>
      </c>
      <c r="B50" s="10" t="inlineStr">
        <is>
          <t>instalacao</t>
        </is>
      </c>
      <c r="C50" s="11" t="inlineStr">
        <is>
          <t>Tubo esgoto DN40</t>
        </is>
      </c>
      <c r="D50" s="10" t="inlineStr">
        <is>
          <t>m</t>
        </is>
      </c>
      <c r="E50" s="12" t="n">
        <v>62.2</v>
      </c>
      <c r="F50" s="13" t="n">
        <v>0</v>
      </c>
      <c r="G50" s="14">
        <f>E50*(1+F50)</f>
        <v/>
      </c>
      <c r="H50" s="15" t="n">
        <v>26</v>
      </c>
      <c r="I50" s="16">
        <f>G50*H50</f>
        <v/>
      </c>
      <c r="J50" s="17" t="n"/>
      <c r="K50" s="17" t="n"/>
      <c r="L50" s="17" t="n"/>
      <c r="M50" s="17" t="n"/>
      <c r="N50" s="17" t="n"/>
      <c r="O50" s="18">
        <f>COUNT(J50:N50)</f>
        <v/>
      </c>
      <c r="P50" s="19">
        <f>IF(O50=0,"",MIN(J50:N50))</f>
        <v/>
      </c>
      <c r="Q50" s="10">
        <f>IF(O50=0,"",INDEX($J$3:$N$3,MATCH(P50,J50:N50,0)))</f>
        <v/>
      </c>
      <c r="R50" s="16">
        <f>IF(O50=0,"",AVERAGE(J50:N50))</f>
        <v/>
      </c>
      <c r="S50" s="20">
        <f>IF(O50&lt;2,"",MAX(J50:N50)/P50)</f>
        <v/>
      </c>
      <c r="T50" s="19">
        <f>IF(O50=0,"",G50*P50)</f>
        <v/>
      </c>
      <c r="U50" s="21">
        <f>IF(OR(O50=0,I50=0),"",T50/I50-1)</f>
        <v/>
      </c>
      <c r="V50" s="18">
        <f>IF(O50=0,"PENDENTE",IF(O50&gt;=5,"COMPLETO","PARCIAL"))</f>
        <v/>
      </c>
    </row>
    <row r="51">
      <c r="A51" s="9" t="inlineStr">
        <is>
          <t>MEP-ISOL</t>
        </is>
      </c>
      <c r="B51" s="10" t="inlineStr">
        <is>
          <t>instalacao</t>
        </is>
      </c>
      <c r="C51" s="11" t="inlineStr">
        <is>
          <t>Isolamento de linha</t>
        </is>
      </c>
      <c r="D51" s="10" t="inlineStr">
        <is>
          <t>m</t>
        </is>
      </c>
      <c r="E51" s="12" t="n">
        <v>112</v>
      </c>
      <c r="F51" s="13" t="n">
        <v>0</v>
      </c>
      <c r="G51" s="14">
        <f>E51*(1+F51)</f>
        <v/>
      </c>
      <c r="H51" s="15" t="n">
        <v>14</v>
      </c>
      <c r="I51" s="16">
        <f>G51*H51</f>
        <v/>
      </c>
      <c r="J51" s="17" t="n"/>
      <c r="K51" s="17" t="n"/>
      <c r="L51" s="17" t="n"/>
      <c r="M51" s="17" t="n"/>
      <c r="N51" s="17" t="n"/>
      <c r="O51" s="18">
        <f>COUNT(J51:N51)</f>
        <v/>
      </c>
      <c r="P51" s="19">
        <f>IF(O51=0,"",MIN(J51:N51))</f>
        <v/>
      </c>
      <c r="Q51" s="10">
        <f>IF(O51=0,"",INDEX($J$3:$N$3,MATCH(P51,J51:N51,0)))</f>
        <v/>
      </c>
      <c r="R51" s="16">
        <f>IF(O51=0,"",AVERAGE(J51:N51))</f>
        <v/>
      </c>
      <c r="S51" s="20">
        <f>IF(O51&lt;2,"",MAX(J51:N51)/P51)</f>
        <v/>
      </c>
      <c r="T51" s="19">
        <f>IF(O51=0,"",G51*P51)</f>
        <v/>
      </c>
      <c r="U51" s="21">
        <f>IF(OR(O51=0,I51=0),"",T51/I51-1)</f>
        <v/>
      </c>
      <c r="V51" s="18">
        <f>IF(O51=0,"PENDENTE",IF(O51&gt;=5,"COMPLETO","PARCIAL"))</f>
        <v/>
      </c>
    </row>
    <row r="52">
      <c r="A52" s="9" t="inlineStr">
        <is>
          <t>MEP-DISJ</t>
        </is>
      </c>
      <c r="B52" s="10" t="inlineStr">
        <is>
          <t>instalacao</t>
        </is>
      </c>
      <c r="C52" s="11" t="inlineStr">
        <is>
          <t>Disjuntor</t>
        </is>
      </c>
      <c r="D52" s="10" t="inlineStr">
        <is>
          <t>un</t>
        </is>
      </c>
      <c r="E52" s="12" t="n">
        <v>36</v>
      </c>
      <c r="F52" s="13" t="n">
        <v>0</v>
      </c>
      <c r="G52" s="14">
        <f>E52*(1+F52)</f>
        <v/>
      </c>
      <c r="H52" s="15" t="n">
        <v>38</v>
      </c>
      <c r="I52" s="16">
        <f>G52*H52</f>
        <v/>
      </c>
      <c r="J52" s="17" t="n"/>
      <c r="K52" s="17" t="n"/>
      <c r="L52" s="17" t="n"/>
      <c r="M52" s="17" t="n"/>
      <c r="N52" s="17" t="n"/>
      <c r="O52" s="18">
        <f>COUNT(J52:N52)</f>
        <v/>
      </c>
      <c r="P52" s="19">
        <f>IF(O52=0,"",MIN(J52:N52))</f>
        <v/>
      </c>
      <c r="Q52" s="10">
        <f>IF(O52=0,"",INDEX($J$3:$N$3,MATCH(P52,J52:N52,0)))</f>
        <v/>
      </c>
      <c r="R52" s="16">
        <f>IF(O52=0,"",AVERAGE(J52:N52))</f>
        <v/>
      </c>
      <c r="S52" s="20">
        <f>IF(O52&lt;2,"",MAX(J52:N52)/P52)</f>
        <v/>
      </c>
      <c r="T52" s="19">
        <f>IF(O52=0,"",G52*P52)</f>
        <v/>
      </c>
      <c r="U52" s="21">
        <f>IF(OR(O52=0,I52=0),"",T52/I52-1)</f>
        <v/>
      </c>
      <c r="V52" s="18">
        <f>IF(O52=0,"PENDENTE",IF(O52&gt;=5,"COMPLETO","PARCIAL"))</f>
        <v/>
      </c>
    </row>
    <row r="53">
      <c r="A53" s="9" t="inlineStr">
        <is>
          <t>MEP-ESGO50</t>
        </is>
      </c>
      <c r="B53" s="10" t="inlineStr">
        <is>
          <t>instalacao</t>
        </is>
      </c>
      <c r="C53" s="11" t="inlineStr">
        <is>
          <t>Tubo esgoto DN50</t>
        </is>
      </c>
      <c r="D53" s="10" t="inlineStr">
        <is>
          <t>m</t>
        </is>
      </c>
      <c r="E53" s="12" t="n">
        <v>50.6</v>
      </c>
      <c r="F53" s="13" t="n">
        <v>0</v>
      </c>
      <c r="G53" s="14">
        <f>E53*(1+F53)</f>
        <v/>
      </c>
      <c r="H53" s="15" t="n">
        <v>26</v>
      </c>
      <c r="I53" s="16">
        <f>G53*H53</f>
        <v/>
      </c>
      <c r="J53" s="17" t="n"/>
      <c r="K53" s="17" t="n"/>
      <c r="L53" s="17" t="n"/>
      <c r="M53" s="17" t="n"/>
      <c r="N53" s="17" t="n"/>
      <c r="O53" s="18">
        <f>COUNT(J53:N53)</f>
        <v/>
      </c>
      <c r="P53" s="19">
        <f>IF(O53=0,"",MIN(J53:N53))</f>
        <v/>
      </c>
      <c r="Q53" s="10">
        <f>IF(O53=0,"",INDEX($J$3:$N$3,MATCH(P53,J53:N53,0)))</f>
        <v/>
      </c>
      <c r="R53" s="16">
        <f>IF(O53=0,"",AVERAGE(J53:N53))</f>
        <v/>
      </c>
      <c r="S53" s="20">
        <f>IF(O53&lt;2,"",MAX(J53:N53)/P53)</f>
        <v/>
      </c>
      <c r="T53" s="19">
        <f>IF(O53=0,"",G53*P53)</f>
        <v/>
      </c>
      <c r="U53" s="21">
        <f>IF(OR(O53=0,I53=0),"",T53/I53-1)</f>
        <v/>
      </c>
      <c r="V53" s="18">
        <f>IF(O53=0,"PENDENTE",IF(O53&gt;=5,"COMPLETO","PARCIAL"))</f>
        <v/>
      </c>
    </row>
    <row r="54">
      <c r="A54" s="9" t="inlineStr">
        <is>
          <t>MEP-CAIXA</t>
        </is>
      </c>
      <c r="B54" s="10" t="inlineStr">
        <is>
          <t>instalacao</t>
        </is>
      </c>
      <c r="C54" s="11" t="inlineStr">
        <is>
          <t>Caixa de passagem e de tomada</t>
        </is>
      </c>
      <c r="D54" s="10" t="inlineStr">
        <is>
          <t>un</t>
        </is>
      </c>
      <c r="E54" s="12" t="n">
        <v>112</v>
      </c>
      <c r="F54" s="13" t="n">
        <v>0</v>
      </c>
      <c r="G54" s="14">
        <f>E54*(1+F54)</f>
        <v/>
      </c>
      <c r="H54" s="15" t="n">
        <v>9</v>
      </c>
      <c r="I54" s="16">
        <f>G54*H54</f>
        <v/>
      </c>
      <c r="J54" s="17" t="n"/>
      <c r="K54" s="17" t="n"/>
      <c r="L54" s="17" t="n"/>
      <c r="M54" s="17" t="n"/>
      <c r="N54" s="17" t="n"/>
      <c r="O54" s="18">
        <f>COUNT(J54:N54)</f>
        <v/>
      </c>
      <c r="P54" s="19">
        <f>IF(O54=0,"",MIN(J54:N54))</f>
        <v/>
      </c>
      <c r="Q54" s="10">
        <f>IF(O54=0,"",INDEX($J$3:$N$3,MATCH(P54,J54:N54,0)))</f>
        <v/>
      </c>
      <c r="R54" s="16">
        <f>IF(O54=0,"",AVERAGE(J54:N54))</f>
        <v/>
      </c>
      <c r="S54" s="20">
        <f>IF(O54&lt;2,"",MAX(J54:N54)/P54)</f>
        <v/>
      </c>
      <c r="T54" s="19">
        <f>IF(O54=0,"",G54*P54)</f>
        <v/>
      </c>
      <c r="U54" s="21">
        <f>IF(OR(O54=0,I54=0),"",T54/I54-1)</f>
        <v/>
      </c>
      <c r="V54" s="18">
        <f>IF(O54=0,"PENDENTE",IF(O54&gt;=5,"COMPLETO","PARCIAL"))</f>
        <v/>
      </c>
    </row>
    <row r="55">
      <c r="A55" s="9" t="inlineStr">
        <is>
          <t>MEP-ESGO75</t>
        </is>
      </c>
      <c r="B55" s="10" t="inlineStr">
        <is>
          <t>instalacao</t>
        </is>
      </c>
      <c r="C55" s="11" t="inlineStr">
        <is>
          <t>Tubo esgoto DN75</t>
        </is>
      </c>
      <c r="D55" s="10" t="inlineStr">
        <is>
          <t>m</t>
        </is>
      </c>
      <c r="E55" s="12" t="n">
        <v>38.3</v>
      </c>
      <c r="F55" s="13" t="n">
        <v>0</v>
      </c>
      <c r="G55" s="14">
        <f>E55*(1+F55)</f>
        <v/>
      </c>
      <c r="H55" s="15" t="n">
        <v>26</v>
      </c>
      <c r="I55" s="16">
        <f>G55*H55</f>
        <v/>
      </c>
      <c r="J55" s="17" t="n"/>
      <c r="K55" s="17" t="n"/>
      <c r="L55" s="17" t="n"/>
      <c r="M55" s="17" t="n"/>
      <c r="N55" s="17" t="n"/>
      <c r="O55" s="18">
        <f>COUNT(J55:N55)</f>
        <v/>
      </c>
      <c r="P55" s="19">
        <f>IF(O55=0,"",MIN(J55:N55))</f>
        <v/>
      </c>
      <c r="Q55" s="10">
        <f>IF(O55=0,"",INDEX($J$3:$N$3,MATCH(P55,J55:N55,0)))</f>
        <v/>
      </c>
      <c r="R55" s="16">
        <f>IF(O55=0,"",AVERAGE(J55:N55))</f>
        <v/>
      </c>
      <c r="S55" s="20">
        <f>IF(O55&lt;2,"",MAX(J55:N55)/P55)</f>
        <v/>
      </c>
      <c r="T55" s="19">
        <f>IF(O55=0,"",G55*P55)</f>
        <v/>
      </c>
      <c r="U55" s="21">
        <f>IF(OR(O55=0,I55=0),"",T55/I55-1)</f>
        <v/>
      </c>
      <c r="V55" s="18">
        <f>IF(O55=0,"PENDENTE",IF(O55&gt;=5,"COMPLETO","PARCIAL"))</f>
        <v/>
      </c>
    </row>
    <row r="56">
      <c r="A56" s="9" t="inlineStr">
        <is>
          <t>MEP-ESGO100</t>
        </is>
      </c>
      <c r="B56" s="10" t="inlineStr">
        <is>
          <t>instalacao</t>
        </is>
      </c>
      <c r="C56" s="11" t="inlineStr">
        <is>
          <t>Tubo esgoto DN100</t>
        </is>
      </c>
      <c r="D56" s="10" t="inlineStr">
        <is>
          <t>m</t>
        </is>
      </c>
      <c r="E56" s="12" t="n">
        <v>34.9</v>
      </c>
      <c r="F56" s="13" t="n">
        <v>0</v>
      </c>
      <c r="G56" s="14">
        <f>E56*(1+F56)</f>
        <v/>
      </c>
      <c r="H56" s="15" t="n">
        <v>26</v>
      </c>
      <c r="I56" s="16">
        <f>G56*H56</f>
        <v/>
      </c>
      <c r="J56" s="17" t="n"/>
      <c r="K56" s="17" t="n"/>
      <c r="L56" s="17" t="n"/>
      <c r="M56" s="17" t="n"/>
      <c r="N56" s="17" t="n"/>
      <c r="O56" s="18">
        <f>COUNT(J56:N56)</f>
        <v/>
      </c>
      <c r="P56" s="19">
        <f>IF(O56=0,"",MIN(J56:N56))</f>
        <v/>
      </c>
      <c r="Q56" s="10">
        <f>IF(O56=0,"",INDEX($J$3:$N$3,MATCH(P56,J56:N56,0)))</f>
        <v/>
      </c>
      <c r="R56" s="16">
        <f>IF(O56=0,"",AVERAGE(J56:N56))</f>
        <v/>
      </c>
      <c r="S56" s="20">
        <f>IF(O56&lt;2,"",MAX(J56:N56)/P56)</f>
        <v/>
      </c>
      <c r="T56" s="19">
        <f>IF(O56=0,"",G56*P56)</f>
        <v/>
      </c>
      <c r="U56" s="21">
        <f>IF(OR(O56=0,I56=0),"",T56/I56-1)</f>
        <v/>
      </c>
      <c r="V56" s="18">
        <f>IF(O56=0,"PENDENTE",IF(O56&gt;=5,"COMPLETO","PARCIAL"))</f>
        <v/>
      </c>
    </row>
    <row r="57">
      <c r="A57" s="9" t="inlineStr">
        <is>
          <t>MEP-AGUA20</t>
        </is>
      </c>
      <c r="B57" s="10" t="inlineStr">
        <is>
          <t>instalacao</t>
        </is>
      </c>
      <c r="C57" s="11" t="inlineStr">
        <is>
          <t>Tubo agua quente DN20</t>
        </is>
      </c>
      <c r="D57" s="10" t="inlineStr">
        <is>
          <t>m</t>
        </is>
      </c>
      <c r="E57" s="12" t="n">
        <v>39.8</v>
      </c>
      <c r="F57" s="13" t="n">
        <v>0</v>
      </c>
      <c r="G57" s="14">
        <f>E57*(1+F57)</f>
        <v/>
      </c>
      <c r="H57" s="15" t="n">
        <v>18</v>
      </c>
      <c r="I57" s="16">
        <f>G57*H57</f>
        <v/>
      </c>
      <c r="J57" s="17" t="n"/>
      <c r="K57" s="17" t="n"/>
      <c r="L57" s="17" t="n"/>
      <c r="M57" s="17" t="n"/>
      <c r="N57" s="17" t="n"/>
      <c r="O57" s="18">
        <f>COUNT(J57:N57)</f>
        <v/>
      </c>
      <c r="P57" s="19">
        <f>IF(O57=0,"",MIN(J57:N57))</f>
        <v/>
      </c>
      <c r="Q57" s="10">
        <f>IF(O57=0,"",INDEX($J$3:$N$3,MATCH(P57,J57:N57,0)))</f>
        <v/>
      </c>
      <c r="R57" s="16">
        <f>IF(O57=0,"",AVERAGE(J57:N57))</f>
        <v/>
      </c>
      <c r="S57" s="20">
        <f>IF(O57&lt;2,"",MAX(J57:N57)/P57)</f>
        <v/>
      </c>
      <c r="T57" s="19">
        <f>IF(O57=0,"",G57*P57)</f>
        <v/>
      </c>
      <c r="U57" s="21">
        <f>IF(OR(O57=0,I57=0),"",T57/I57-1)</f>
        <v/>
      </c>
      <c r="V57" s="18">
        <f>IF(O57=0,"PENDENTE",IF(O57&gt;=5,"COMPLETO","PARCIAL"))</f>
        <v/>
      </c>
    </row>
    <row r="58">
      <c r="A58" s="9" t="inlineStr">
        <is>
          <t>MEP-DRENO</t>
        </is>
      </c>
      <c r="B58" s="10" t="inlineStr">
        <is>
          <t>instalacao</t>
        </is>
      </c>
      <c r="C58" s="11" t="inlineStr">
        <is>
          <t>Dreno de condensado</t>
        </is>
      </c>
      <c r="D58" s="10" t="inlineStr">
        <is>
          <t>m</t>
        </is>
      </c>
      <c r="E58" s="12" t="n">
        <v>44.8</v>
      </c>
      <c r="F58" s="13" t="n">
        <v>0</v>
      </c>
      <c r="G58" s="14">
        <f>E58*(1+F58)</f>
        <v/>
      </c>
      <c r="H58" s="15" t="n">
        <v>9</v>
      </c>
      <c r="I58" s="16">
        <f>G58*H58</f>
        <v/>
      </c>
      <c r="J58" s="17" t="n"/>
      <c r="K58" s="17" t="n"/>
      <c r="L58" s="17" t="n"/>
      <c r="M58" s="17" t="n"/>
      <c r="N58" s="17" t="n"/>
      <c r="O58" s="18">
        <f>COUNT(J58:N58)</f>
        <v/>
      </c>
      <c r="P58" s="19">
        <f>IF(O58=0,"",MIN(J58:N58))</f>
        <v/>
      </c>
      <c r="Q58" s="10">
        <f>IF(O58=0,"",INDEX($J$3:$N$3,MATCH(P58,J58:N58,0)))</f>
        <v/>
      </c>
      <c r="R58" s="16">
        <f>IF(O58=0,"",AVERAGE(J58:N58))</f>
        <v/>
      </c>
      <c r="S58" s="20">
        <f>IF(O58&lt;2,"",MAX(J58:N58)/P58)</f>
        <v/>
      </c>
      <c r="T58" s="19">
        <f>IF(O58=0,"",G58*P58)</f>
        <v/>
      </c>
      <c r="U58" s="21">
        <f>IF(OR(O58=0,I58=0),"",T58/I58-1)</f>
        <v/>
      </c>
      <c r="V58" s="18">
        <f>IF(O58=0,"PENDENTE",IF(O58&gt;=5,"COMPLETO","PARCIAL"))</f>
        <v/>
      </c>
    </row>
    <row r="59">
      <c r="A59" s="9" t="inlineStr">
        <is>
          <t>MEP-AGUA32</t>
        </is>
      </c>
      <c r="B59" s="10" t="inlineStr">
        <is>
          <t>instalacao</t>
        </is>
      </c>
      <c r="C59" s="11" t="inlineStr">
        <is>
          <t>Tubo agua fria DN32</t>
        </is>
      </c>
      <c r="D59" s="10" t="inlineStr">
        <is>
          <t>m</t>
        </is>
      </c>
      <c r="E59" s="12" t="n">
        <v>5.6</v>
      </c>
      <c r="F59" s="13" t="n">
        <v>0</v>
      </c>
      <c r="G59" s="14">
        <f>E59*(1+F59)</f>
        <v/>
      </c>
      <c r="H59" s="15" t="n">
        <v>18</v>
      </c>
      <c r="I59" s="16">
        <f>G59*H59</f>
        <v/>
      </c>
      <c r="J59" s="17" t="n"/>
      <c r="K59" s="17" t="n"/>
      <c r="L59" s="17" t="n"/>
      <c r="M59" s="17" t="n"/>
      <c r="N59" s="17" t="n"/>
      <c r="O59" s="18">
        <f>COUNT(J59:N59)</f>
        <v/>
      </c>
      <c r="P59" s="19">
        <f>IF(O59=0,"",MIN(J59:N59))</f>
        <v/>
      </c>
      <c r="Q59" s="10">
        <f>IF(O59=0,"",INDEX($J$3:$N$3,MATCH(P59,J59:N59,0)))</f>
        <v/>
      </c>
      <c r="R59" s="16">
        <f>IF(O59=0,"",AVERAGE(J59:N59))</f>
        <v/>
      </c>
      <c r="S59" s="20">
        <f>IF(O59&lt;2,"",MAX(J59:N59)/P59)</f>
        <v/>
      </c>
      <c r="T59" s="19">
        <f>IF(O59=0,"",G59*P59)</f>
        <v/>
      </c>
      <c r="U59" s="21">
        <f>IF(OR(O59=0,I59=0),"",T59/I59-1)</f>
        <v/>
      </c>
      <c r="V59" s="18">
        <f>IF(O59=0,"PENDENTE",IF(O59&gt;=5,"COMPLETO","PARCIAL"))</f>
        <v/>
      </c>
    </row>
    <row r="60">
      <c r="A60" s="9" t="inlineStr">
        <is>
          <t>PAR-EST</t>
        </is>
      </c>
      <c r="B60" s="10" t="inlineStr">
        <is>
          <t>ligacao</t>
        </is>
      </c>
      <c r="C60" s="11" t="inlineStr">
        <is>
          <t>Parafuso estrutural auto-brocante</t>
        </is>
      </c>
      <c r="D60" s="10" t="inlineStr">
        <is>
          <t>un</t>
        </is>
      </c>
      <c r="E60" s="12" t="n">
        <v>5128</v>
      </c>
      <c r="F60" s="13" t="n">
        <v>0</v>
      </c>
      <c r="G60" s="14">
        <f>E60*(1+F60)</f>
        <v/>
      </c>
      <c r="H60" s="15" t="n">
        <v>0.28</v>
      </c>
      <c r="I60" s="16">
        <f>G60*H60</f>
        <v/>
      </c>
      <c r="J60" s="17" t="n"/>
      <c r="K60" s="17" t="n"/>
      <c r="L60" s="17" t="n"/>
      <c r="M60" s="17" t="n"/>
      <c r="N60" s="17" t="n"/>
      <c r="O60" s="18">
        <f>COUNT(J60:N60)</f>
        <v/>
      </c>
      <c r="P60" s="19">
        <f>IF(O60=0,"",MIN(J60:N60))</f>
        <v/>
      </c>
      <c r="Q60" s="10">
        <f>IF(O60=0,"",INDEX($J$3:$N$3,MATCH(P60,J60:N60,0)))</f>
        <v/>
      </c>
      <c r="R60" s="16">
        <f>IF(O60=0,"",AVERAGE(J60:N60))</f>
        <v/>
      </c>
      <c r="S60" s="20">
        <f>IF(O60&lt;2,"",MAX(J60:N60)/P60)</f>
        <v/>
      </c>
      <c r="T60" s="19">
        <f>IF(O60=0,"",G60*P60)</f>
        <v/>
      </c>
      <c r="U60" s="21">
        <f>IF(OR(O60=0,I60=0),"",T60/I60-1)</f>
        <v/>
      </c>
      <c r="V60" s="18">
        <f>IF(O60=0,"PENDENTE",IF(O60&gt;=5,"COMPLETO","PARCIAL"))</f>
        <v/>
      </c>
    </row>
    <row r="61">
      <c r="A61" s="9" t="inlineStr">
        <is>
          <t>BRI-RIPA</t>
        </is>
      </c>
      <c r="B61" s="10" t="inlineStr">
        <is>
          <t>fachada</t>
        </is>
      </c>
      <c r="C61" s="11" t="inlineStr">
        <is>
          <t>Ripa de fachada: tubular de aluminio 50 x 20 x 1,2 mm</t>
        </is>
      </c>
      <c r="D61" s="10" t="inlineStr">
        <is>
          <t>m</t>
        </is>
      </c>
      <c r="E61" s="12" t="n">
        <v>205.5</v>
      </c>
      <c r="F61" s="13" t="n">
        <v>0</v>
      </c>
      <c r="G61" s="14">
        <f>E61*(1+F61)</f>
        <v/>
      </c>
      <c r="H61" s="15" t="n">
        <v>42</v>
      </c>
      <c r="I61" s="16">
        <f>G61*H61</f>
        <v/>
      </c>
      <c r="J61" s="17" t="n"/>
      <c r="K61" s="17" t="n"/>
      <c r="L61" s="17" t="n"/>
      <c r="M61" s="17" t="n"/>
      <c r="N61" s="17" t="n"/>
      <c r="O61" s="18">
        <f>COUNT(J61:N61)</f>
        <v/>
      </c>
      <c r="P61" s="19">
        <f>IF(O61=0,"",MIN(J61:N61))</f>
        <v/>
      </c>
      <c r="Q61" s="10">
        <f>IF(O61=0,"",INDEX($J$3:$N$3,MATCH(P61,J61:N61,0)))</f>
        <v/>
      </c>
      <c r="R61" s="16">
        <f>IF(O61=0,"",AVERAGE(J61:N61))</f>
        <v/>
      </c>
      <c r="S61" s="20">
        <f>IF(O61&lt;2,"",MAX(J61:N61)/P61)</f>
        <v/>
      </c>
      <c r="T61" s="19">
        <f>IF(O61=0,"",G61*P61)</f>
        <v/>
      </c>
      <c r="U61" s="21">
        <f>IF(OR(O61=0,I61=0),"",T61/I61-1)</f>
        <v/>
      </c>
      <c r="V61" s="18">
        <f>IF(O61=0,"PENDENTE",IF(O61&gt;=5,"COMPLETO","PARCIAL"))</f>
        <v/>
      </c>
    </row>
    <row r="62">
      <c r="A62" s="9" t="inlineStr">
        <is>
          <t>BRI-MEC</t>
        </is>
      </c>
      <c r="B62" s="10" t="inlineStr">
        <is>
          <t>fachada</t>
        </is>
      </c>
      <c r="C62" s="11" t="inlineStr">
        <is>
          <t>Mecanismo de brise movel: guia, roldana e trava</t>
        </is>
      </c>
      <c r="D62" s="10" t="inlineStr">
        <is>
          <t>cj</t>
        </is>
      </c>
      <c r="E62" s="12" t="n">
        <v>2</v>
      </c>
      <c r="F62" s="13" t="n">
        <v>0</v>
      </c>
      <c r="G62" s="14">
        <f>E62*(1+F62)</f>
        <v/>
      </c>
      <c r="H62" s="15" t="n">
        <v>2400</v>
      </c>
      <c r="I62" s="16">
        <f>G62*H62</f>
        <v/>
      </c>
      <c r="J62" s="17" t="n"/>
      <c r="K62" s="17" t="n"/>
      <c r="L62" s="17" t="n"/>
      <c r="M62" s="17" t="n"/>
      <c r="N62" s="17" t="n"/>
      <c r="O62" s="18">
        <f>COUNT(J62:N62)</f>
        <v/>
      </c>
      <c r="P62" s="19">
        <f>IF(O62=0,"",MIN(J62:N62))</f>
        <v/>
      </c>
      <c r="Q62" s="10">
        <f>IF(O62=0,"",INDEX($J$3:$N$3,MATCH(P62,J62:N62,0)))</f>
        <v/>
      </c>
      <c r="R62" s="16">
        <f>IF(O62=0,"",AVERAGE(J62:N62))</f>
        <v/>
      </c>
      <c r="S62" s="20">
        <f>IF(O62&lt;2,"",MAX(J62:N62)/P62)</f>
        <v/>
      </c>
      <c r="T62" s="19">
        <f>IF(O62=0,"",G62*P62)</f>
        <v/>
      </c>
      <c r="U62" s="21">
        <f>IF(OR(O62=0,I62=0),"",T62/I62-1)</f>
        <v/>
      </c>
      <c r="V62" s="18">
        <f>IF(O62=0,"PENDENTE",IF(O62&gt;=5,"COMPLETO","PARCIAL"))</f>
        <v/>
      </c>
    </row>
    <row r="63">
      <c r="A63" s="9" t="inlineStr">
        <is>
          <t>BRI-TRAV</t>
        </is>
      </c>
      <c r="B63" s="10" t="inlineStr">
        <is>
          <t>fachada</t>
        </is>
      </c>
      <c r="C63" s="11" t="inlineStr">
        <is>
          <t>Travessa de brise: U 50x25x1,2 aluminio</t>
        </is>
      </c>
      <c r="D63" s="10" t="inlineStr">
        <is>
          <t>m</t>
        </is>
      </c>
      <c r="E63" s="12" t="n">
        <v>33.6</v>
      </c>
      <c r="F63" s="13" t="n">
        <v>0</v>
      </c>
      <c r="G63" s="14">
        <f>E63*(1+F63)</f>
        <v/>
      </c>
      <c r="H63" s="15" t="n">
        <v>38</v>
      </c>
      <c r="I63" s="16">
        <f>G63*H63</f>
        <v/>
      </c>
      <c r="J63" s="17" t="n"/>
      <c r="K63" s="17" t="n"/>
      <c r="L63" s="17" t="n"/>
      <c r="M63" s="17" t="n"/>
      <c r="N63" s="17" t="n"/>
      <c r="O63" s="18">
        <f>COUNT(J63:N63)</f>
        <v/>
      </c>
      <c r="P63" s="19">
        <f>IF(O63=0,"",MIN(J63:N63))</f>
        <v/>
      </c>
      <c r="Q63" s="10">
        <f>IF(O63=0,"",INDEX($J$3:$N$3,MATCH(P63,J63:N63,0)))</f>
        <v/>
      </c>
      <c r="R63" s="16">
        <f>IF(O63=0,"",AVERAGE(J63:N63))</f>
        <v/>
      </c>
      <c r="S63" s="20">
        <f>IF(O63&lt;2,"",MAX(J63:N63)/P63)</f>
        <v/>
      </c>
      <c r="T63" s="19">
        <f>IF(O63=0,"",G63*P63)</f>
        <v/>
      </c>
      <c r="U63" s="21">
        <f>IF(OR(O63=0,I63=0),"",T63/I63-1)</f>
        <v/>
      </c>
      <c r="V63" s="18">
        <f>IF(O63=0,"PENDENTE",IF(O63&gt;=5,"COMPLETO","PARCIAL"))</f>
        <v/>
      </c>
    </row>
    <row r="64">
      <c r="A64" s="9" t="inlineStr">
        <is>
          <t>BRI-FIX</t>
        </is>
      </c>
      <c r="B64" s="10" t="inlineStr">
        <is>
          <t>fachada</t>
        </is>
      </c>
      <c r="C64" s="11" t="inlineStr">
        <is>
          <t>Fixacao de travessa no montante</t>
        </is>
      </c>
      <c r="D64" s="10" t="inlineStr">
        <is>
          <t>un</t>
        </is>
      </c>
      <c r="E64" s="12" t="n">
        <v>66</v>
      </c>
      <c r="F64" s="13" t="n">
        <v>0</v>
      </c>
      <c r="G64" s="14">
        <f>E64*(1+F64)</f>
        <v/>
      </c>
      <c r="H64" s="15" t="n">
        <v>6.5</v>
      </c>
      <c r="I64" s="16">
        <f>G64*H64</f>
        <v/>
      </c>
      <c r="J64" s="17" t="n"/>
      <c r="K64" s="17" t="n"/>
      <c r="L64" s="17" t="n"/>
      <c r="M64" s="17" t="n"/>
      <c r="N64" s="17" t="n"/>
      <c r="O64" s="18">
        <f>COUNT(J64:N64)</f>
        <v/>
      </c>
      <c r="P64" s="19">
        <f>IF(O64=0,"",MIN(J64:N64))</f>
        <v/>
      </c>
      <c r="Q64" s="10">
        <f>IF(O64=0,"",INDEX($J$3:$N$3,MATCH(P64,J64:N64,0)))</f>
        <v/>
      </c>
      <c r="R64" s="16">
        <f>IF(O64=0,"",AVERAGE(J64:N64))</f>
        <v/>
      </c>
      <c r="S64" s="20">
        <f>IF(O64&lt;2,"",MAX(J64:N64)/P64)</f>
        <v/>
      </c>
      <c r="T64" s="19">
        <f>IF(O64=0,"",G64*P64)</f>
        <v/>
      </c>
      <c r="U64" s="21">
        <f>IF(OR(O64=0,I64=0),"",T64/I64-1)</f>
        <v/>
      </c>
      <c r="V64" s="18">
        <f>IF(O64=0,"PENDENTE",IF(O64&gt;=5,"COMPLETO","PARCIAL"))</f>
        <v/>
      </c>
    </row>
    <row r="65">
      <c r="A65" s="9" t="inlineStr">
        <is>
          <t>EXT-PISO2</t>
        </is>
      </c>
      <c r="B65" s="10" t="inlineStr">
        <is>
          <t>externo</t>
        </is>
      </c>
      <c r="C65" s="11" t="inlineStr">
        <is>
          <t>lounge e circulacao do deck: WPC coextrudado claro</t>
        </is>
      </c>
      <c r="D65" s="10" t="inlineStr">
        <is>
          <t>m2</t>
        </is>
      </c>
      <c r="E65" s="12" t="n">
        <v>76.31999999999999</v>
      </c>
      <c r="F65" s="13" t="n">
        <v>0</v>
      </c>
      <c r="G65" s="14">
        <f>E65*(1+F65)</f>
        <v/>
      </c>
      <c r="H65" s="15" t="n">
        <v>320</v>
      </c>
      <c r="I65" s="16">
        <f>G65*H65</f>
        <v/>
      </c>
      <c r="J65" s="17" t="n"/>
      <c r="K65" s="17" t="n"/>
      <c r="L65" s="17" t="n"/>
      <c r="M65" s="17" t="n"/>
      <c r="N65" s="17" t="n"/>
      <c r="O65" s="18">
        <f>COUNT(J65:N65)</f>
        <v/>
      </c>
      <c r="P65" s="19">
        <f>IF(O65=0,"",MIN(J65:N65))</f>
        <v/>
      </c>
      <c r="Q65" s="10">
        <f>IF(O65=0,"",INDEX($J$3:$N$3,MATCH(P65,J65:N65,0)))</f>
        <v/>
      </c>
      <c r="R65" s="16">
        <f>IF(O65=0,"",AVERAGE(J65:N65))</f>
        <v/>
      </c>
      <c r="S65" s="20">
        <f>IF(O65&lt;2,"",MAX(J65:N65)/P65)</f>
        <v/>
      </c>
      <c r="T65" s="19">
        <f>IF(O65=0,"",G65*P65)</f>
        <v/>
      </c>
      <c r="U65" s="21">
        <f>IF(OR(O65=0,I65=0),"",T65/I65-1)</f>
        <v/>
      </c>
      <c r="V65" s="18">
        <f>IF(O65=0,"PENDENTE",IF(O65&gt;=5,"COMPLETO","PARCIAL"))</f>
        <v/>
      </c>
    </row>
    <row r="66">
      <c r="A66" s="9" t="inlineStr">
        <is>
          <t>EXT-BLOCO</t>
        </is>
      </c>
      <c r="B66" s="10" t="inlineStr">
        <is>
          <t>externo</t>
        </is>
      </c>
      <c r="C66" s="11" t="inlineStr">
        <is>
          <t>Muro: bloco de concreto estrutural 14 x 19 x 39 ap</t>
        </is>
      </c>
      <c r="D66" s="10" t="inlineStr">
        <is>
          <t>un</t>
        </is>
      </c>
      <c r="E66" s="12" t="n">
        <v>3118</v>
      </c>
      <c r="F66" s="13" t="n">
        <v>0</v>
      </c>
      <c r="G66" s="14">
        <f>E66*(1+F66)</f>
        <v/>
      </c>
      <c r="H66" s="15" t="n">
        <v>4.8</v>
      </c>
      <c r="I66" s="16">
        <f>G66*H66</f>
        <v/>
      </c>
      <c r="J66" s="17" t="n"/>
      <c r="K66" s="17" t="n"/>
      <c r="L66" s="17" t="n"/>
      <c r="M66" s="17" t="n"/>
      <c r="N66" s="17" t="n"/>
      <c r="O66" s="18">
        <f>COUNT(J66:N66)</f>
        <v/>
      </c>
      <c r="P66" s="19">
        <f>IF(O66=0,"",MIN(J66:N66))</f>
        <v/>
      </c>
      <c r="Q66" s="10">
        <f>IF(O66=0,"",INDEX($J$3:$N$3,MATCH(P66,J66:N66,0)))</f>
        <v/>
      </c>
      <c r="R66" s="16">
        <f>IF(O66=0,"",AVERAGE(J66:N66))</f>
        <v/>
      </c>
      <c r="S66" s="20">
        <f>IF(O66&lt;2,"",MAX(J66:N66)/P66)</f>
        <v/>
      </c>
      <c r="T66" s="19">
        <f>IF(O66=0,"",G66*P66)</f>
        <v/>
      </c>
      <c r="U66" s="21">
        <f>IF(OR(O66=0,I66=0),"",T66/I66-1)</f>
        <v/>
      </c>
      <c r="V66" s="18">
        <f>IF(O66=0,"PENDENTE",IF(O66&gt;=5,"COMPLETO","PARCIAL"))</f>
        <v/>
      </c>
    </row>
    <row r="67">
      <c r="A67" s="9" t="inlineStr">
        <is>
          <t>EXT-PISC-EST</t>
        </is>
      </c>
      <c r="B67" s="10" t="inlineStr">
        <is>
          <t>externo</t>
        </is>
      </c>
      <c r="C67" s="11" t="inlineStr">
        <is>
          <t>Piscina: casca de concreto armado 150 mm</t>
        </is>
      </c>
      <c r="D67" s="10" t="inlineStr">
        <is>
          <t>m3</t>
        </is>
      </c>
      <c r="E67" s="12" t="n">
        <v>4.57</v>
      </c>
      <c r="F67" s="13" t="n">
        <v>0</v>
      </c>
      <c r="G67" s="14">
        <f>E67*(1+F67)</f>
        <v/>
      </c>
      <c r="H67" s="15" t="n">
        <v>1450</v>
      </c>
      <c r="I67" s="16">
        <f>G67*H67</f>
        <v/>
      </c>
      <c r="J67" s="17" t="n"/>
      <c r="K67" s="17" t="n"/>
      <c r="L67" s="17" t="n"/>
      <c r="M67" s="17" t="n"/>
      <c r="N67" s="17" t="n"/>
      <c r="O67" s="18">
        <f>COUNT(J67:N67)</f>
        <v/>
      </c>
      <c r="P67" s="19">
        <f>IF(O67=0,"",MIN(J67:N67))</f>
        <v/>
      </c>
      <c r="Q67" s="10">
        <f>IF(O67=0,"",INDEX($J$3:$N$3,MATCH(P67,J67:N67,0)))</f>
        <v/>
      </c>
      <c r="R67" s="16">
        <f>IF(O67=0,"",AVERAGE(J67:N67))</f>
        <v/>
      </c>
      <c r="S67" s="20">
        <f>IF(O67&lt;2,"",MAX(J67:N67)/P67)</f>
        <v/>
      </c>
      <c r="T67" s="19">
        <f>IF(O67=0,"",G67*P67)</f>
        <v/>
      </c>
      <c r="U67" s="21">
        <f>IF(OR(O67=0,I67=0),"",T67/I67-1)</f>
        <v/>
      </c>
      <c r="V67" s="18">
        <f>IF(O67=0,"PENDENTE",IF(O67&gt;=5,"COMPLETO","PARCIAL"))</f>
        <v/>
      </c>
    </row>
    <row r="68">
      <c r="A68" s="9" t="inlineStr">
        <is>
          <t>EXT-PISC-REV</t>
        </is>
      </c>
      <c r="B68" s="10" t="inlineStr">
        <is>
          <t>externo</t>
        </is>
      </c>
      <c r="C68" s="11" t="inlineStr">
        <is>
          <t>Piscina: revestimento de fundo e paredes</t>
        </is>
      </c>
      <c r="D68" s="10" t="inlineStr">
        <is>
          <t>m2</t>
        </is>
      </c>
      <c r="E68" s="12" t="n">
        <v>30.43</v>
      </c>
      <c r="F68" s="13" t="n">
        <v>0</v>
      </c>
      <c r="G68" s="14">
        <f>E68*(1+F68)</f>
        <v/>
      </c>
      <c r="H68" s="15" t="n">
        <v>210</v>
      </c>
      <c r="I68" s="16">
        <f>G68*H68</f>
        <v/>
      </c>
      <c r="J68" s="17" t="n"/>
      <c r="K68" s="17" t="n"/>
      <c r="L68" s="17" t="n"/>
      <c r="M68" s="17" t="n"/>
      <c r="N68" s="17" t="n"/>
      <c r="O68" s="18">
        <f>COUNT(J68:N68)</f>
        <v/>
      </c>
      <c r="P68" s="19">
        <f>IF(O68=0,"",MIN(J68:N68))</f>
        <v/>
      </c>
      <c r="Q68" s="10">
        <f>IF(O68=0,"",INDEX($J$3:$N$3,MATCH(P68,J68:N68,0)))</f>
        <v/>
      </c>
      <c r="R68" s="16">
        <f>IF(O68=0,"",AVERAGE(J68:N68))</f>
        <v/>
      </c>
      <c r="S68" s="20">
        <f>IF(O68&lt;2,"",MAX(J68:N68)/P68)</f>
        <v/>
      </c>
      <c r="T68" s="19">
        <f>IF(O68=0,"",G68*P68)</f>
        <v/>
      </c>
      <c r="U68" s="21">
        <f>IF(OR(O68=0,I68=0),"",T68/I68-1)</f>
        <v/>
      </c>
      <c r="V68" s="18">
        <f>IF(O68=0,"PENDENTE",IF(O68&gt;=5,"COMPLETO","PARCIAL"))</f>
        <v/>
      </c>
    </row>
    <row r="69">
      <c r="A69" s="9" t="inlineStr">
        <is>
          <t>EXT-VASO</t>
        </is>
      </c>
      <c r="B69" s="10" t="inlineStr">
        <is>
          <t>externo</t>
        </is>
      </c>
      <c r="C69" s="11" t="inlineStr">
        <is>
          <t>Vaso e planta em vaso</t>
        </is>
      </c>
      <c r="D69" s="10" t="inlineStr">
        <is>
          <t>un</t>
        </is>
      </c>
      <c r="E69" s="12" t="n">
        <v>24</v>
      </c>
      <c r="F69" s="13" t="n">
        <v>0</v>
      </c>
      <c r="G69" s="14">
        <f>E69*(1+F69)</f>
        <v/>
      </c>
      <c r="H69" s="15" t="n">
        <v>240</v>
      </c>
      <c r="I69" s="16">
        <f>G69*H69</f>
        <v/>
      </c>
      <c r="J69" s="17" t="n"/>
      <c r="K69" s="17" t="n"/>
      <c r="L69" s="17" t="n"/>
      <c r="M69" s="17" t="n"/>
      <c r="N69" s="17" t="n"/>
      <c r="O69" s="18">
        <f>COUNT(J69:N69)</f>
        <v/>
      </c>
      <c r="P69" s="19">
        <f>IF(O69=0,"",MIN(J69:N69))</f>
        <v/>
      </c>
      <c r="Q69" s="10">
        <f>IF(O69=0,"",INDEX($J$3:$N$3,MATCH(P69,J69:N69,0)))</f>
        <v/>
      </c>
      <c r="R69" s="16">
        <f>IF(O69=0,"",AVERAGE(J69:N69))</f>
        <v/>
      </c>
      <c r="S69" s="20">
        <f>IF(O69&lt;2,"",MAX(J69:N69)/P69)</f>
        <v/>
      </c>
      <c r="T69" s="19">
        <f>IF(O69=0,"",G69*P69)</f>
        <v/>
      </c>
      <c r="U69" s="21">
        <f>IF(OR(O69=0,I69=0),"",T69/I69-1)</f>
        <v/>
      </c>
      <c r="V69" s="18">
        <f>IF(O69=0,"PENDENTE",IF(O69&gt;=5,"COMPLETO","PARCIAL"))</f>
        <v/>
      </c>
    </row>
    <row r="70">
      <c r="A70" s="9" t="inlineStr">
        <is>
          <t>EXT-GRAMA</t>
        </is>
      </c>
      <c r="B70" s="10" t="inlineStr">
        <is>
          <t>externo</t>
        </is>
      </c>
      <c r="C70" s="11" t="inlineStr">
        <is>
          <t>Grama e canteiro</t>
        </is>
      </c>
      <c r="D70" s="10" t="inlineStr">
        <is>
          <t>m2</t>
        </is>
      </c>
      <c r="E70" s="12" t="n">
        <v>137.16</v>
      </c>
      <c r="F70" s="13" t="n">
        <v>0</v>
      </c>
      <c r="G70" s="14">
        <f>E70*(1+F70)</f>
        <v/>
      </c>
      <c r="H70" s="15" t="n">
        <v>38</v>
      </c>
      <c r="I70" s="16">
        <f>G70*H70</f>
        <v/>
      </c>
      <c r="J70" s="17" t="n"/>
      <c r="K70" s="17" t="n"/>
      <c r="L70" s="17" t="n"/>
      <c r="M70" s="17" t="n"/>
      <c r="N70" s="17" t="n"/>
      <c r="O70" s="18">
        <f>COUNT(J70:N70)</f>
        <v/>
      </c>
      <c r="P70" s="19">
        <f>IF(O70=0,"",MIN(J70:N70))</f>
        <v/>
      </c>
      <c r="Q70" s="10">
        <f>IF(O70=0,"",INDEX($J$3:$N$3,MATCH(P70,J70:N70,0)))</f>
        <v/>
      </c>
      <c r="R70" s="16">
        <f>IF(O70=0,"",AVERAGE(J70:N70))</f>
        <v/>
      </c>
      <c r="S70" s="20">
        <f>IF(O70&lt;2,"",MAX(J70:N70)/P70)</f>
        <v/>
      </c>
      <c r="T70" s="19">
        <f>IF(O70=0,"",G70*P70)</f>
        <v/>
      </c>
      <c r="U70" s="21">
        <f>IF(OR(O70=0,I70=0),"",T70/I70-1)</f>
        <v/>
      </c>
      <c r="V70" s="18">
        <f>IF(O70=0,"PENDENTE",IF(O70&gt;=5,"COMPLETO","PARCIAL"))</f>
        <v/>
      </c>
    </row>
    <row r="71">
      <c r="A71" s="9" t="inlineStr">
        <is>
          <t>EXT-HIDROF</t>
        </is>
      </c>
      <c r="B71" s="10" t="inlineStr">
        <is>
          <t>externo</t>
        </is>
      </c>
      <c r="C71" s="11" t="inlineStr">
        <is>
          <t>Hidrofugante incolor no muro aparente</t>
        </is>
      </c>
      <c r="D71" s="10" t="inlineStr">
        <is>
          <t>m2</t>
        </is>
      </c>
      <c r="E71" s="12" t="n">
        <v>249.5</v>
      </c>
      <c r="F71" s="13" t="n">
        <v>0</v>
      </c>
      <c r="G71" s="14">
        <f>E71*(1+F71)</f>
        <v/>
      </c>
      <c r="H71" s="15" t="n">
        <v>18</v>
      </c>
      <c r="I71" s="16">
        <f>G71*H71</f>
        <v/>
      </c>
      <c r="J71" s="17" t="n"/>
      <c r="K71" s="17" t="n"/>
      <c r="L71" s="17" t="n"/>
      <c r="M71" s="17" t="n"/>
      <c r="N71" s="17" t="n"/>
      <c r="O71" s="18">
        <f>COUNT(J71:N71)</f>
        <v/>
      </c>
      <c r="P71" s="19">
        <f>IF(O71=0,"",MIN(J71:N71))</f>
        <v/>
      </c>
      <c r="Q71" s="10">
        <f>IF(O71=0,"",INDEX($J$3:$N$3,MATCH(P71,J71:N71,0)))</f>
        <v/>
      </c>
      <c r="R71" s="16">
        <f>IF(O71=0,"",AVERAGE(J71:N71))</f>
        <v/>
      </c>
      <c r="S71" s="20">
        <f>IF(O71&lt;2,"",MAX(J71:N71)/P71)</f>
        <v/>
      </c>
      <c r="T71" s="19">
        <f>IF(O71=0,"",G71*P71)</f>
        <v/>
      </c>
      <c r="U71" s="21">
        <f>IF(OR(O71=0,I71=0),"",T71/I71-1)</f>
        <v/>
      </c>
      <c r="V71" s="18">
        <f>IF(O71=0,"PENDENTE",IF(O71&gt;=5,"COMPLETO","PARCIAL"))</f>
        <v/>
      </c>
    </row>
    <row r="72">
      <c r="A72" s="9" t="inlineStr">
        <is>
          <t>EXT-ARV</t>
        </is>
      </c>
      <c r="B72" s="10" t="inlineStr">
        <is>
          <t>externo</t>
        </is>
      </c>
      <c r="C72" s="11" t="inlineStr">
        <is>
          <t>Arvore de porte</t>
        </is>
      </c>
      <c r="D72" s="10" t="inlineStr">
        <is>
          <t>un</t>
        </is>
      </c>
      <c r="E72" s="12" t="n">
        <v>5</v>
      </c>
      <c r="F72" s="13" t="n">
        <v>0</v>
      </c>
      <c r="G72" s="14">
        <f>E72*(1+F72)</f>
        <v/>
      </c>
      <c r="H72" s="15" t="n">
        <v>780</v>
      </c>
      <c r="I72" s="16">
        <f>G72*H72</f>
        <v/>
      </c>
      <c r="J72" s="17" t="n"/>
      <c r="K72" s="17" t="n"/>
      <c r="L72" s="17" t="n"/>
      <c r="M72" s="17" t="n"/>
      <c r="N72" s="17" t="n"/>
      <c r="O72" s="18">
        <f>COUNT(J72:N72)</f>
        <v/>
      </c>
      <c r="P72" s="19">
        <f>IF(O72=0,"",MIN(J72:N72))</f>
        <v/>
      </c>
      <c r="Q72" s="10">
        <f>IF(O72=0,"",INDEX($J$3:$N$3,MATCH(P72,J72:N72,0)))</f>
        <v/>
      </c>
      <c r="R72" s="16">
        <f>IF(O72=0,"",AVERAGE(J72:N72))</f>
        <v/>
      </c>
      <c r="S72" s="20">
        <f>IF(O72&lt;2,"",MAX(J72:N72)/P72)</f>
        <v/>
      </c>
      <c r="T72" s="19">
        <f>IF(O72=0,"",G72*P72)</f>
        <v/>
      </c>
      <c r="U72" s="21">
        <f>IF(OR(O72=0,I72=0),"",T72/I72-1)</f>
        <v/>
      </c>
      <c r="V72" s="18">
        <f>IF(O72=0,"PENDENTE",IF(O72&gt;=5,"COMPLETO","PARCIAL"))</f>
        <v/>
      </c>
    </row>
    <row r="73">
      <c r="A73" s="9" t="inlineStr">
        <is>
          <t>EXT-PISO1</t>
        </is>
      </c>
      <c r="B73" s="10" t="inlineStr">
        <is>
          <t>externo</t>
        </is>
      </c>
      <c r="C73" s="11" t="inlineStr">
        <is>
          <t>faixa seca da piscina: porcelanato externo claro R11</t>
        </is>
      </c>
      <c r="D73" s="10" t="inlineStr">
        <is>
          <t>m2</t>
        </is>
      </c>
      <c r="E73" s="12" t="n">
        <v>24.3</v>
      </c>
      <c r="F73" s="13" t="n">
        <v>0</v>
      </c>
      <c r="G73" s="14">
        <f>E73*(1+F73)</f>
        <v/>
      </c>
      <c r="H73" s="15" t="n">
        <v>148</v>
      </c>
      <c r="I73" s="16">
        <f>G73*H73</f>
        <v/>
      </c>
      <c r="J73" s="17" t="n"/>
      <c r="K73" s="17" t="n"/>
      <c r="L73" s="17" t="n"/>
      <c r="M73" s="17" t="n"/>
      <c r="N73" s="17" t="n"/>
      <c r="O73" s="18">
        <f>COUNT(J73:N73)</f>
        <v/>
      </c>
      <c r="P73" s="19">
        <f>IF(O73=0,"",MIN(J73:N73))</f>
        <v/>
      </c>
      <c r="Q73" s="10">
        <f>IF(O73=0,"",INDEX($J$3:$N$3,MATCH(P73,J73:N73,0)))</f>
        <v/>
      </c>
      <c r="R73" s="16">
        <f>IF(O73=0,"",AVERAGE(J73:N73))</f>
        <v/>
      </c>
      <c r="S73" s="20">
        <f>IF(O73&lt;2,"",MAX(J73:N73)/P73)</f>
        <v/>
      </c>
      <c r="T73" s="19">
        <f>IF(O73=0,"",G73*P73)</f>
        <v/>
      </c>
      <c r="U73" s="21">
        <f>IF(OR(O73=0,I73=0),"",T73/I73-1)</f>
        <v/>
      </c>
      <c r="V73" s="18">
        <f>IF(O73=0,"PENDENTE",IF(O73&gt;=5,"COMPLETO","PARCIAL"))</f>
        <v/>
      </c>
    </row>
    <row r="74">
      <c r="A74" s="9" t="inlineStr">
        <is>
          <t>EXT-BORDA</t>
        </is>
      </c>
      <c r="B74" s="10" t="inlineStr">
        <is>
          <t>externo</t>
        </is>
      </c>
      <c r="C74" s="11" t="inlineStr">
        <is>
          <t>Borda de piscina</t>
        </is>
      </c>
      <c r="D74" s="10" t="inlineStr">
        <is>
          <t>m</t>
        </is>
      </c>
      <c r="E74" s="12" t="n">
        <v>17.4</v>
      </c>
      <c r="F74" s="13" t="n">
        <v>0</v>
      </c>
      <c r="G74" s="14">
        <f>E74*(1+F74)</f>
        <v/>
      </c>
      <c r="H74" s="15" t="n">
        <v>185</v>
      </c>
      <c r="I74" s="16">
        <f>G74*H74</f>
        <v/>
      </c>
      <c r="J74" s="17" t="n"/>
      <c r="K74" s="17" t="n"/>
      <c r="L74" s="17" t="n"/>
      <c r="M74" s="17" t="n"/>
      <c r="N74" s="17" t="n"/>
      <c r="O74" s="18">
        <f>COUNT(J74:N74)</f>
        <v/>
      </c>
      <c r="P74" s="19">
        <f>IF(O74=0,"",MIN(J74:N74))</f>
        <v/>
      </c>
      <c r="Q74" s="10">
        <f>IF(O74=0,"",INDEX($J$3:$N$3,MATCH(P74,J74:N74,0)))</f>
        <v/>
      </c>
      <c r="R74" s="16">
        <f>IF(O74=0,"",AVERAGE(J74:N74))</f>
        <v/>
      </c>
      <c r="S74" s="20">
        <f>IF(O74&lt;2,"",MAX(J74:N74)/P74)</f>
        <v/>
      </c>
      <c r="T74" s="19">
        <f>IF(O74=0,"",G74*P74)</f>
        <v/>
      </c>
      <c r="U74" s="21">
        <f>IF(OR(O74=0,I74=0),"",T74/I74-1)</f>
        <v/>
      </c>
      <c r="V74" s="18">
        <f>IF(O74=0,"PENDENTE",IF(O74&gt;=5,"COMPLETO","PARCIAL"))</f>
        <v/>
      </c>
    </row>
    <row r="75">
      <c r="A75" s="9" t="inlineStr">
        <is>
          <t>EXT-PISO3</t>
        </is>
      </c>
      <c r="B75" s="10" t="inlineStr">
        <is>
          <t>externo</t>
        </is>
      </c>
      <c r="C75" s="11" t="inlineStr">
        <is>
          <t>passeio e acesso: piso drenante intertravado claro</t>
        </is>
      </c>
      <c r="D75" s="10" t="inlineStr">
        <is>
          <t>m2</t>
        </is>
      </c>
      <c r="E75" s="12" t="n">
        <v>30.96</v>
      </c>
      <c r="F75" s="13" t="n">
        <v>0</v>
      </c>
      <c r="G75" s="14">
        <f>E75*(1+F75)</f>
        <v/>
      </c>
      <c r="H75" s="15" t="n">
        <v>96</v>
      </c>
      <c r="I75" s="16">
        <f>G75*H75</f>
        <v/>
      </c>
      <c r="J75" s="17" t="n"/>
      <c r="K75" s="17" t="n"/>
      <c r="L75" s="17" t="n"/>
      <c r="M75" s="17" t="n"/>
      <c r="N75" s="17" t="n"/>
      <c r="O75" s="18">
        <f>COUNT(J75:N75)</f>
        <v/>
      </c>
      <c r="P75" s="19">
        <f>IF(O75=0,"",MIN(J75:N75))</f>
        <v/>
      </c>
      <c r="Q75" s="10">
        <f>IF(O75=0,"",INDEX($J$3:$N$3,MATCH(P75,J75:N75,0)))</f>
        <v/>
      </c>
      <c r="R75" s="16">
        <f>IF(O75=0,"",AVERAGE(J75:N75))</f>
        <v/>
      </c>
      <c r="S75" s="20">
        <f>IF(O75&lt;2,"",MAX(J75:N75)/P75)</f>
        <v/>
      </c>
      <c r="T75" s="19">
        <f>IF(O75=0,"",G75*P75)</f>
        <v/>
      </c>
      <c r="U75" s="21">
        <f>IF(OR(O75=0,I75=0),"",T75/I75-1)</f>
        <v/>
      </c>
      <c r="V75" s="18">
        <f>IF(O75=0,"PENDENTE",IF(O75&gt;=5,"COMPLETO","PARCIAL"))</f>
        <v/>
      </c>
    </row>
    <row r="76">
      <c r="A76" s="9" t="inlineStr">
        <is>
          <t>EXT-PISO4</t>
        </is>
      </c>
      <c r="B76" s="10" t="inlineStr">
        <is>
          <t>externo</t>
        </is>
      </c>
      <c r="C76" s="11" t="inlineStr">
        <is>
          <t>varanda do pavimento superior: porcelanato externo claro R11</t>
        </is>
      </c>
      <c r="D76" s="10" t="inlineStr">
        <is>
          <t>m2</t>
        </is>
      </c>
      <c r="E76" s="12" t="n">
        <v>14.04</v>
      </c>
      <c r="F76" s="13" t="n">
        <v>0</v>
      </c>
      <c r="G76" s="14">
        <f>E76*(1+F76)</f>
        <v/>
      </c>
      <c r="H76" s="15" t="n">
        <v>148</v>
      </c>
      <c r="I76" s="16">
        <f>G76*H76</f>
        <v/>
      </c>
      <c r="J76" s="17" t="n"/>
      <c r="K76" s="17" t="n"/>
      <c r="L76" s="17" t="n"/>
      <c r="M76" s="17" t="n"/>
      <c r="N76" s="17" t="n"/>
      <c r="O76" s="18">
        <f>COUNT(J76:N76)</f>
        <v/>
      </c>
      <c r="P76" s="19">
        <f>IF(O76=0,"",MIN(J76:N76))</f>
        <v/>
      </c>
      <c r="Q76" s="10">
        <f>IF(O76=0,"",INDEX($J$3:$N$3,MATCH(P76,J76:N76,0)))</f>
        <v/>
      </c>
      <c r="R76" s="16">
        <f>IF(O76=0,"",AVERAGE(J76:N76))</f>
        <v/>
      </c>
      <c r="S76" s="20">
        <f>IF(O76&lt;2,"",MAX(J76:N76)/P76)</f>
        <v/>
      </c>
      <c r="T76" s="19">
        <f>IF(O76=0,"",G76*P76)</f>
        <v/>
      </c>
      <c r="U76" s="21">
        <f>IF(OR(O76=0,I76=0),"",T76/I76-1)</f>
        <v/>
      </c>
      <c r="V76" s="18">
        <f>IF(O76=0,"PENDENTE",IF(O76&gt;=5,"COMPLETO","PARCIAL"))</f>
        <v/>
      </c>
    </row>
    <row r="77">
      <c r="A77" s="9" t="inlineStr">
        <is>
          <t>EXT-GRAUTE</t>
        </is>
      </c>
      <c r="B77" s="10" t="inlineStr">
        <is>
          <t>externo</t>
        </is>
      </c>
      <c r="C77" s="11" t="inlineStr">
        <is>
          <t>Graute de cinta e pilarete do muro</t>
        </is>
      </c>
      <c r="D77" s="10" t="inlineStr">
        <is>
          <t>m3</t>
        </is>
      </c>
      <c r="E77" s="12" t="n">
        <v>2.99</v>
      </c>
      <c r="F77" s="13" t="n">
        <v>0</v>
      </c>
      <c r="G77" s="14">
        <f>E77*(1+F77)</f>
        <v/>
      </c>
      <c r="H77" s="15" t="n">
        <v>620</v>
      </c>
      <c r="I77" s="16">
        <f>G77*H77</f>
        <v/>
      </c>
      <c r="J77" s="17" t="n"/>
      <c r="K77" s="17" t="n"/>
      <c r="L77" s="17" t="n"/>
      <c r="M77" s="17" t="n"/>
      <c r="N77" s="17" t="n"/>
      <c r="O77" s="18">
        <f>COUNT(J77:N77)</f>
        <v/>
      </c>
      <c r="P77" s="19">
        <f>IF(O77=0,"",MIN(J77:N77))</f>
        <v/>
      </c>
      <c r="Q77" s="10">
        <f>IF(O77=0,"",INDEX($J$3:$N$3,MATCH(P77,J77:N77,0)))</f>
        <v/>
      </c>
      <c r="R77" s="16">
        <f>IF(O77=0,"",AVERAGE(J77:N77))</f>
        <v/>
      </c>
      <c r="S77" s="20">
        <f>IF(O77&lt;2,"",MAX(J77:N77)/P77)</f>
        <v/>
      </c>
      <c r="T77" s="19">
        <f>IF(O77=0,"",G77*P77)</f>
        <v/>
      </c>
      <c r="U77" s="21">
        <f>IF(OR(O77=0,I77=0),"",T77/I77-1)</f>
        <v/>
      </c>
      <c r="V77" s="18">
        <f>IF(O77=0,"PENDENTE",IF(O77&gt;=5,"COMPLETO","PARCIAL"))</f>
        <v/>
      </c>
    </row>
    <row r="78">
      <c r="A78" s="9" t="inlineStr">
        <is>
          <t>MO-MON</t>
        </is>
      </c>
      <c r="B78" s="10" t="inlineStr">
        <is>
          <t>servico</t>
        </is>
      </c>
      <c r="C78" s="11" t="inlineStr">
        <is>
          <t>Mao de obra de montagem</t>
        </is>
      </c>
      <c r="D78" s="10" t="inlineStr">
        <is>
          <t>h</t>
        </is>
      </c>
      <c r="E78" s="12" t="n">
        <v>681</v>
      </c>
      <c r="F78" s="13" t="n">
        <v>0</v>
      </c>
      <c r="G78" s="14">
        <f>E78*(1+F78)</f>
        <v/>
      </c>
      <c r="H78" s="15" t="n">
        <v>42</v>
      </c>
      <c r="I78" s="16">
        <f>G78*H78</f>
        <v/>
      </c>
      <c r="J78" s="17" t="n"/>
      <c r="K78" s="17" t="n"/>
      <c r="L78" s="17" t="n"/>
      <c r="M78" s="17" t="n"/>
      <c r="N78" s="17" t="n"/>
      <c r="O78" s="18">
        <f>COUNT(J78:N78)</f>
        <v/>
      </c>
      <c r="P78" s="19">
        <f>IF(O78=0,"",MIN(J78:N78))</f>
        <v/>
      </c>
      <c r="Q78" s="10">
        <f>IF(O78=0,"",INDEX($J$3:$N$3,MATCH(P78,J78:N78,0)))</f>
        <v/>
      </c>
      <c r="R78" s="16">
        <f>IF(O78=0,"",AVERAGE(J78:N78))</f>
        <v/>
      </c>
      <c r="S78" s="20">
        <f>IF(O78&lt;2,"",MAX(J78:N78)/P78)</f>
        <v/>
      </c>
      <c r="T78" s="19">
        <f>IF(O78=0,"",G78*P78)</f>
        <v/>
      </c>
      <c r="U78" s="21">
        <f>IF(OR(O78=0,I78=0),"",T78/I78-1)</f>
        <v/>
      </c>
      <c r="V78" s="18">
        <f>IF(O78=0,"PENDENTE",IF(O78&gt;=5,"COMPLETO","PARCIAL"))</f>
        <v/>
      </c>
    </row>
    <row r="79">
      <c r="A79" s="9" t="inlineStr">
        <is>
          <t>MO-FAB</t>
        </is>
      </c>
      <c r="B79" s="10" t="inlineStr">
        <is>
          <t>servico</t>
        </is>
      </c>
      <c r="C79" s="11" t="inlineStr">
        <is>
          <t>Mao de obra de fabrica</t>
        </is>
      </c>
      <c r="D79" s="10" t="inlineStr">
        <is>
          <t>h</t>
        </is>
      </c>
      <c r="E79" s="12" t="n">
        <v>46.4</v>
      </c>
      <c r="F79" s="13" t="n">
        <v>0</v>
      </c>
      <c r="G79" s="14">
        <f>E79*(1+F79)</f>
        <v/>
      </c>
      <c r="H79" s="15" t="n">
        <v>38</v>
      </c>
      <c r="I79" s="16">
        <f>G79*H79</f>
        <v/>
      </c>
      <c r="J79" s="17" t="n"/>
      <c r="K79" s="17" t="n"/>
      <c r="L79" s="17" t="n"/>
      <c r="M79" s="17" t="n"/>
      <c r="N79" s="17" t="n"/>
      <c r="O79" s="18">
        <f>COUNT(J79:N79)</f>
        <v/>
      </c>
      <c r="P79" s="19">
        <f>IF(O79=0,"",MIN(J79:N79))</f>
        <v/>
      </c>
      <c r="Q79" s="10">
        <f>IF(O79=0,"",INDEX($J$3:$N$3,MATCH(P79,J79:N79,0)))</f>
        <v/>
      </c>
      <c r="R79" s="16">
        <f>IF(O79=0,"",AVERAGE(J79:N79))</f>
        <v/>
      </c>
      <c r="S79" s="20">
        <f>IF(O79&lt;2,"",MAX(J79:N79)/P79)</f>
        <v/>
      </c>
      <c r="T79" s="19">
        <f>IF(O79=0,"",G79*P79)</f>
        <v/>
      </c>
      <c r="U79" s="21">
        <f>IF(OR(O79=0,I79=0),"",T79/I79-1)</f>
        <v/>
      </c>
      <c r="V79" s="18">
        <f>IF(O79=0,"PENDENTE",IF(O79&gt;=5,"COMPLETO","PARCIAL"))</f>
        <v/>
      </c>
    </row>
    <row r="80">
      <c r="A80" s="22" t="n"/>
      <c r="B80" s="22" t="n"/>
      <c r="C80" s="23" t="inlineStr">
        <is>
          <t>TOTAL GERAL</t>
        </is>
      </c>
      <c r="D80" s="22" t="n"/>
      <c r="E80" s="22" t="n"/>
      <c r="F80" s="22" t="n"/>
      <c r="G80" s="22" t="n"/>
      <c r="H80" s="22" t="n"/>
      <c r="I80" s="24">
        <f>SUM(I4:I79)</f>
        <v/>
      </c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4">
        <f>SUM(T4:T79)</f>
        <v/>
      </c>
      <c r="U80" s="25">
        <f>IF(T80=0,"",T80/I80-1)</f>
        <v/>
      </c>
      <c r="V80" s="22" t="n"/>
    </row>
    <row r="82">
      <c r="C82" s="2" t="inlineStr">
        <is>
          <t>Itens: 76 · linhas cotáveis com especificação completa: 56 · com lacuna a esclarecer com o fornecedor: 32</t>
        </is>
      </c>
    </row>
    <row r="83">
      <c r="C83" s="2" t="inlineStr">
        <is>
          <t>Passe o mouse sobre a DESCRIÇÃO para ver a especificação completa, as normas e a lacuna de cada item.</t>
        </is>
      </c>
    </row>
  </sheetData>
  <autoFilter ref="A3:V79"/>
  <conditionalFormatting sqref="V4:V79">
    <cfRule type="cellIs" priority="1" operator="equal" dxfId="0">
      <formula>"PENDENTE"</formula>
    </cfRule>
    <cfRule type="cellIs" priority="2" operator="equal" dxfId="1">
      <formula>"PARCIAL"</formula>
    </cfRule>
    <cfRule type="cellIs" priority="6" operator="equal" dxfId="2">
      <formula>"COMPLETO"</formula>
    </cfRule>
  </conditionalFormatting>
  <conditionalFormatting sqref="U4:U79">
    <cfRule type="cellIs" priority="3" operator="greaterThan" dxfId="0">
      <formula>0.15</formula>
    </cfRule>
    <cfRule type="cellIs" priority="4" operator="lessThan" dxfId="2">
      <formula>-0.15</formula>
    </cfRule>
  </conditionalFormatting>
  <conditionalFormatting sqref="S4:S79">
    <cfRule type="cellIs" priority="5" operator="greaterThan" dxfId="0">
      <formula>1.5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18" customWidth="1" min="3" max="3"/>
    <col width="62" customWidth="1" min="4" max="4"/>
    <col width="8" customWidth="1" min="5" max="5"/>
    <col width="18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RESUMO POR FAMÍLIA</t>
        </is>
      </c>
    </row>
    <row r="2">
      <c r="A2" s="2" t="inlineStr">
        <is>
          <t>Tudo aqui é fórmula sobre a aba COTAÇÃO: lançou um preço lá, muda aqui.</t>
        </is>
      </c>
    </row>
    <row r="4">
      <c r="A4" s="26" t="inlineStr">
        <is>
          <t>FAMÍLIA</t>
        </is>
      </c>
      <c r="B4" s="26" t="inlineStr">
        <is>
          <t>ITENS</t>
        </is>
      </c>
      <c r="C4" s="26" t="inlineStr">
        <is>
          <t>TOTAL REF. (H)</t>
        </is>
      </c>
      <c r="D4" s="26" t="inlineStr">
        <is>
          <t>% DO CUSTO</t>
        </is>
      </c>
      <c r="E4" s="26" t="inlineStr">
        <is>
          <t>ABC</t>
        </is>
      </c>
      <c r="F4" s="26" t="inlineStr">
        <is>
          <t>TOTAL COTADO</t>
        </is>
      </c>
      <c r="G4" s="26" t="inlineStr">
        <is>
          <t>Δ vs REF.</t>
        </is>
      </c>
      <c r="H4" s="26" t="inlineStr">
        <is>
          <t>ITENS COTADOS</t>
        </is>
      </c>
      <c r="I4" s="26" t="inlineStr">
        <is>
          <t>COBERTURA</t>
        </is>
      </c>
    </row>
    <row r="5">
      <c r="A5" s="9" t="inlineStr">
        <is>
          <t>vedacao</t>
        </is>
      </c>
      <c r="B5" s="18" t="n">
        <v>14</v>
      </c>
      <c r="C5" s="27">
        <f>SUMIF(COTAÇÃO!$B$4:$B$79,$A5,COTAÇÃO!$I$4:$I$79)</f>
        <v/>
      </c>
      <c r="D5" s="21">
        <f>IF($C$15=0,0,C5/$C$15)</f>
        <v/>
      </c>
      <c r="E5" s="18">
        <f>IF(D5&gt;=0.1,"A",IF(D5&gt;=0.03,"B","C"))</f>
        <v/>
      </c>
      <c r="F5" s="27">
        <f>SUMIF(COTAÇÃO!$B$4:$B$79,$A5,COTAÇÃO!$T$4:$T$79)</f>
        <v/>
      </c>
      <c r="G5" s="21">
        <f>IF(OR(F5=0,C5=0),"",F5/C5-1)</f>
        <v/>
      </c>
      <c r="H5" s="18">
        <f>COUNTIFS(COTAÇÃO!$B$4:$B$79,$A5,COTAÇÃO!$O$4:$O$79,"&gt;0")</f>
        <v/>
      </c>
      <c r="I5" s="21">
        <f>IF(B5=0,0,H5/B5)</f>
        <v/>
      </c>
    </row>
    <row r="6">
      <c r="A6" s="9" t="inlineStr">
        <is>
          <t>esquadria</t>
        </is>
      </c>
      <c r="B6" s="18" t="n">
        <v>8</v>
      </c>
      <c r="C6" s="27">
        <f>SUMIF(COTAÇÃO!$B$4:$B$79,$A6,COTAÇÃO!$I$4:$I$79)</f>
        <v/>
      </c>
      <c r="D6" s="21">
        <f>IF($C$15=0,0,C6/$C$15)</f>
        <v/>
      </c>
      <c r="E6" s="18">
        <f>IF(D6&gt;=0.1,"A",IF(D6&gt;=0.03,"B","C"))</f>
        <v/>
      </c>
      <c r="F6" s="27">
        <f>SUMIF(COTAÇÃO!$B$4:$B$79,$A6,COTAÇÃO!$T$4:$T$79)</f>
        <v/>
      </c>
      <c r="G6" s="21">
        <f>IF(OR(F6=0,C6=0),"",F6/C6-1)</f>
        <v/>
      </c>
      <c r="H6" s="18">
        <f>COUNTIFS(COTAÇÃO!$B$4:$B$79,$A6,COTAÇÃO!$O$4:$O$79,"&gt;0")</f>
        <v/>
      </c>
      <c r="I6" s="21">
        <f>IF(B6=0,0,H6/B6)</f>
        <v/>
      </c>
    </row>
    <row r="7">
      <c r="A7" s="9" t="inlineStr">
        <is>
          <t>externo</t>
        </is>
      </c>
      <c r="B7" s="18" t="n">
        <v>13</v>
      </c>
      <c r="C7" s="27">
        <f>SUMIF(COTAÇÃO!$B$4:$B$79,$A7,COTAÇÃO!$I$4:$I$79)</f>
        <v/>
      </c>
      <c r="D7" s="21">
        <f>IF($C$15=0,0,C7/$C$15)</f>
        <v/>
      </c>
      <c r="E7" s="18">
        <f>IF(D7&gt;=0.1,"A",IF(D7&gt;=0.03,"B","C"))</f>
        <v/>
      </c>
      <c r="F7" s="27">
        <f>SUMIF(COTAÇÃO!$B$4:$B$79,$A7,COTAÇÃO!$T$4:$T$79)</f>
        <v/>
      </c>
      <c r="G7" s="21">
        <f>IF(OR(F7=0,C7=0),"",F7/C7-1)</f>
        <v/>
      </c>
      <c r="H7" s="18">
        <f>COUNTIFS(COTAÇÃO!$B$4:$B$79,$A7,COTAÇÃO!$O$4:$O$79,"&gt;0")</f>
        <v/>
      </c>
      <c r="I7" s="21">
        <f>IF(B7=0,0,H7/B7)</f>
        <v/>
      </c>
    </row>
    <row r="8">
      <c r="A8" s="9" t="inlineStr">
        <is>
          <t>fundacao</t>
        </is>
      </c>
      <c r="B8" s="18" t="n">
        <v>11</v>
      </c>
      <c r="C8" s="27">
        <f>SUMIF(COTAÇÃO!$B$4:$B$79,$A8,COTAÇÃO!$I$4:$I$79)</f>
        <v/>
      </c>
      <c r="D8" s="21">
        <f>IF($C$15=0,0,C8/$C$15)</f>
        <v/>
      </c>
      <c r="E8" s="18">
        <f>IF(D8&gt;=0.1,"A",IF(D8&gt;=0.03,"B","C"))</f>
        <v/>
      </c>
      <c r="F8" s="27">
        <f>SUMIF(COTAÇÃO!$B$4:$B$79,$A8,COTAÇÃO!$T$4:$T$79)</f>
        <v/>
      </c>
      <c r="G8" s="21">
        <f>IF(OR(F8=0,C8=0),"",F8/C8-1)</f>
        <v/>
      </c>
      <c r="H8" s="18">
        <f>COUNTIFS(COTAÇÃO!$B$4:$B$79,$A8,COTAÇÃO!$O$4:$O$79,"&gt;0")</f>
        <v/>
      </c>
      <c r="I8" s="21">
        <f>IF(B8=0,0,H8/B8)</f>
        <v/>
      </c>
    </row>
    <row r="9">
      <c r="A9" s="9" t="inlineStr">
        <is>
          <t>estrutura</t>
        </is>
      </c>
      <c r="B9" s="18" t="n">
        <v>1</v>
      </c>
      <c r="C9" s="27">
        <f>SUMIF(COTAÇÃO!$B$4:$B$79,$A9,COTAÇÃO!$I$4:$I$79)</f>
        <v/>
      </c>
      <c r="D9" s="21">
        <f>IF($C$15=0,0,C9/$C$15)</f>
        <v/>
      </c>
      <c r="E9" s="18">
        <f>IF(D9&gt;=0.1,"A",IF(D9&gt;=0.03,"B","C"))</f>
        <v/>
      </c>
      <c r="F9" s="27">
        <f>SUMIF(COTAÇÃO!$B$4:$B$79,$A9,COTAÇÃO!$T$4:$T$79)</f>
        <v/>
      </c>
      <c r="G9" s="21">
        <f>IF(OR(F9=0,C9=0),"",F9/C9-1)</f>
        <v/>
      </c>
      <c r="H9" s="18">
        <f>COUNTIFS(COTAÇÃO!$B$4:$B$79,$A9,COTAÇÃO!$O$4:$O$79,"&gt;0")</f>
        <v/>
      </c>
      <c r="I9" s="21">
        <f>IF(B9=0,0,H9/B9)</f>
        <v/>
      </c>
    </row>
    <row r="10">
      <c r="A10" s="9" t="inlineStr">
        <is>
          <t>instalacao</t>
        </is>
      </c>
      <c r="B10" s="18" t="n">
        <v>15</v>
      </c>
      <c r="C10" s="27">
        <f>SUMIF(COTAÇÃO!$B$4:$B$79,$A10,COTAÇÃO!$I$4:$I$79)</f>
        <v/>
      </c>
      <c r="D10" s="21">
        <f>IF($C$15=0,0,C10/$C$15)</f>
        <v/>
      </c>
      <c r="E10" s="18">
        <f>IF(D10&gt;=0.1,"A",IF(D10&gt;=0.03,"B","C"))</f>
        <v/>
      </c>
      <c r="F10" s="27">
        <f>SUMIF(COTAÇÃO!$B$4:$B$79,$A10,COTAÇÃO!$T$4:$T$79)</f>
        <v/>
      </c>
      <c r="G10" s="21">
        <f>IF(OR(F10=0,C10=0),"",F10/C10-1)</f>
        <v/>
      </c>
      <c r="H10" s="18">
        <f>COUNTIFS(COTAÇÃO!$B$4:$B$79,$A10,COTAÇÃO!$O$4:$O$79,"&gt;0")</f>
        <v/>
      </c>
      <c r="I10" s="21">
        <f>IF(B10=0,0,H10/B10)</f>
        <v/>
      </c>
    </row>
    <row r="11">
      <c r="A11" s="9" t="inlineStr">
        <is>
          <t>servico</t>
        </is>
      </c>
      <c r="B11" s="18" t="n">
        <v>2</v>
      </c>
      <c r="C11" s="27">
        <f>SUMIF(COTAÇÃO!$B$4:$B$79,$A11,COTAÇÃO!$I$4:$I$79)</f>
        <v/>
      </c>
      <c r="D11" s="21">
        <f>IF($C$15=0,0,C11/$C$15)</f>
        <v/>
      </c>
      <c r="E11" s="18">
        <f>IF(D11&gt;=0.1,"A",IF(D11&gt;=0.03,"B","C"))</f>
        <v/>
      </c>
      <c r="F11" s="27">
        <f>SUMIF(COTAÇÃO!$B$4:$B$79,$A11,COTAÇÃO!$T$4:$T$79)</f>
        <v/>
      </c>
      <c r="G11" s="21">
        <f>IF(OR(F11=0,C11=0),"",F11/C11-1)</f>
        <v/>
      </c>
      <c r="H11" s="18">
        <f>COUNTIFS(COTAÇÃO!$B$4:$B$79,$A11,COTAÇÃO!$O$4:$O$79,"&gt;0")</f>
        <v/>
      </c>
      <c r="I11" s="21">
        <f>IF(B11=0,0,H11/B11)</f>
        <v/>
      </c>
    </row>
    <row r="12">
      <c r="A12" s="9" t="inlineStr">
        <is>
          <t>cobertura</t>
        </is>
      </c>
      <c r="B12" s="18" t="n">
        <v>7</v>
      </c>
      <c r="C12" s="27">
        <f>SUMIF(COTAÇÃO!$B$4:$B$79,$A12,COTAÇÃO!$I$4:$I$79)</f>
        <v/>
      </c>
      <c r="D12" s="21">
        <f>IF($C$15=0,0,C12/$C$15)</f>
        <v/>
      </c>
      <c r="E12" s="18">
        <f>IF(D12&gt;=0.1,"A",IF(D12&gt;=0.03,"B","C"))</f>
        <v/>
      </c>
      <c r="F12" s="27">
        <f>SUMIF(COTAÇÃO!$B$4:$B$79,$A12,COTAÇÃO!$T$4:$T$79)</f>
        <v/>
      </c>
      <c r="G12" s="21">
        <f>IF(OR(F12=0,C12=0),"",F12/C12-1)</f>
        <v/>
      </c>
      <c r="H12" s="18">
        <f>COUNTIFS(COTAÇÃO!$B$4:$B$79,$A12,COTAÇÃO!$O$4:$O$79,"&gt;0")</f>
        <v/>
      </c>
      <c r="I12" s="21">
        <f>IF(B12=0,0,H12/B12)</f>
        <v/>
      </c>
    </row>
    <row r="13">
      <c r="A13" s="9" t="inlineStr">
        <is>
          <t>fachada</t>
        </is>
      </c>
      <c r="B13" s="18" t="n">
        <v>4</v>
      </c>
      <c r="C13" s="27">
        <f>SUMIF(COTAÇÃO!$B$4:$B$79,$A13,COTAÇÃO!$I$4:$I$79)</f>
        <v/>
      </c>
      <c r="D13" s="21">
        <f>IF($C$15=0,0,C13/$C$15)</f>
        <v/>
      </c>
      <c r="E13" s="18">
        <f>IF(D13&gt;=0.1,"A",IF(D13&gt;=0.03,"B","C"))</f>
        <v/>
      </c>
      <c r="F13" s="27">
        <f>SUMIF(COTAÇÃO!$B$4:$B$79,$A13,COTAÇÃO!$T$4:$T$79)</f>
        <v/>
      </c>
      <c r="G13" s="21">
        <f>IF(OR(F13=0,C13=0),"",F13/C13-1)</f>
        <v/>
      </c>
      <c r="H13" s="18">
        <f>COUNTIFS(COTAÇÃO!$B$4:$B$79,$A13,COTAÇÃO!$O$4:$O$79,"&gt;0")</f>
        <v/>
      </c>
      <c r="I13" s="21">
        <f>IF(B13=0,0,H13/B13)</f>
        <v/>
      </c>
    </row>
    <row r="14">
      <c r="A14" s="9" t="inlineStr">
        <is>
          <t>ligacao</t>
        </is>
      </c>
      <c r="B14" s="18" t="n">
        <v>1</v>
      </c>
      <c r="C14" s="27">
        <f>SUMIF(COTAÇÃO!$B$4:$B$79,$A14,COTAÇÃO!$I$4:$I$79)</f>
        <v/>
      </c>
      <c r="D14" s="21">
        <f>IF($C$15=0,0,C14/$C$15)</f>
        <v/>
      </c>
      <c r="E14" s="18">
        <f>IF(D14&gt;=0.1,"A",IF(D14&gt;=0.03,"B","C"))</f>
        <v/>
      </c>
      <c r="F14" s="27">
        <f>SUMIF(COTAÇÃO!$B$4:$B$79,$A14,COTAÇÃO!$T$4:$T$79)</f>
        <v/>
      </c>
      <c r="G14" s="21">
        <f>IF(OR(F14=0,C14=0),"",F14/C14-1)</f>
        <v/>
      </c>
      <c r="H14" s="18">
        <f>COUNTIFS(COTAÇÃO!$B$4:$B$79,$A14,COTAÇÃO!$O$4:$O$79,"&gt;0")</f>
        <v/>
      </c>
      <c r="I14" s="21">
        <f>IF(B14=0,0,H14/B14)</f>
        <v/>
      </c>
    </row>
    <row r="15">
      <c r="A15" s="23" t="inlineStr">
        <is>
          <t>TOTAL</t>
        </is>
      </c>
      <c r="B15" s="28">
        <f>SUM(B5:B14)</f>
        <v/>
      </c>
      <c r="C15" s="29">
        <f>SUM(C5:C14)</f>
        <v/>
      </c>
      <c r="D15" s="30">
        <f>IF(C15=0,0,SUM(D5:D14))</f>
        <v/>
      </c>
      <c r="E15" s="22" t="n"/>
      <c r="F15" s="29">
        <f>SUM(F5:F14)</f>
        <v/>
      </c>
      <c r="G15" s="30">
        <f>IF(OR(F15=0,C15=0),"",F15/C15-1)</f>
        <v/>
      </c>
      <c r="H15" s="28">
        <f>SUM(H5:H14)</f>
        <v/>
      </c>
      <c r="I15" s="30">
        <f>IF(B15=0,0,H15/B15)</f>
        <v/>
      </c>
    </row>
    <row r="17">
      <c r="A17" s="3" t="inlineStr">
        <is>
          <t>INDICADORES</t>
        </is>
      </c>
    </row>
    <row r="18">
      <c r="A18" s="4" t="inlineStr">
        <is>
          <t>Área fechada do projeto (m²)</t>
        </is>
      </c>
      <c r="C18" s="31" t="n">
        <v>297.36</v>
      </c>
      <c r="D18" s="32" t="inlineStr">
        <is>
          <t>dado do modelo: soma dos ambientes fechados dos dois pavimentos</t>
        </is>
      </c>
    </row>
    <row r="19">
      <c r="A19" s="4" t="inlineStr">
        <is>
          <t>Total adotado (cotado se houver; senão referência)</t>
        </is>
      </c>
      <c r="C19" s="33">
        <f>IF(F15=0,C15,F15)</f>
        <v/>
      </c>
      <c r="D19" s="32" t="inlineStr">
        <is>
          <t>enquanto não houver proposta, a planilha trabalha com o preço (H)</t>
        </is>
      </c>
    </row>
    <row r="20">
      <c r="A20" s="4" t="inlineStr">
        <is>
          <t>Serviço (mão de obra de montagem já orçada)</t>
        </is>
      </c>
      <c r="C20" s="33">
        <f>IF(F15=0,SUMIF($A$5:$A$14,"servico",$C$5:$C$14),SUMIF($A$5:$A$14,"servico",$F$5:$F$14))</f>
        <v/>
      </c>
    </row>
    <row r="21">
      <c r="A21" s="4" t="inlineStr">
        <is>
          <t>Material (total menos serviço)</t>
        </is>
      </c>
      <c r="C21" s="33">
        <f>C19-C20</f>
        <v/>
      </c>
    </row>
    <row r="22">
      <c r="A22" s="4" t="inlineStr">
        <is>
          <t>Parcela de material na obra entregue</t>
        </is>
      </c>
      <c r="C22" s="34" t="n">
        <v>0.6</v>
      </c>
      <c r="D22" s="32" t="inlineStr">
        <is>
          <t>(H) de prática corrente. É a ponte entre orçamento de insumo e índice de obra pronta — mexa aqui para testar a sensibilidade</t>
        </is>
      </c>
    </row>
    <row r="23">
      <c r="A23" s="4" t="inlineStr">
        <is>
          <t>Obra entregue estimada</t>
        </is>
      </c>
      <c r="C23" s="33">
        <f>IF(C22=0,0,C21/C22)</f>
        <v/>
      </c>
      <c r="D23" s="32" t="inlineStr">
        <is>
          <t>quanto a casa custaria pronta, incluindo o que NÃO está nesta planilha</t>
        </is>
      </c>
    </row>
    <row r="24">
      <c r="A24" s="4" t="inlineStr">
        <is>
          <t>Custo desta planilha por m²</t>
        </is>
      </c>
      <c r="C24" s="35">
        <f>C19/C18</f>
        <v/>
      </c>
    </row>
    <row r="25">
      <c r="A25" s="4" t="inlineStr">
        <is>
          <t>Obra entregue estimada por m²</t>
        </is>
      </c>
      <c r="C25" s="35">
        <f>IF(C18=0,0,C23/C18)</f>
        <v/>
      </c>
      <c r="D25" s="32" t="inlineStr">
        <is>
          <t>compare com a aba REFERÊNCIAS: tem de ficar ABAIXO do índice de obra entregue, porque o escopo daqui é menor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4" customWidth="1" min="3" max="3"/>
    <col width="6" customWidth="1" min="4" max="4"/>
    <col width="12" customWidth="1" min="5" max="5"/>
    <col width="72" customWidth="1" min="6" max="6"/>
    <col width="22" customWidth="1" min="7" max="7"/>
    <col width="46" customWidth="1" min="8" max="8"/>
    <col width="11" customWidth="1" min="9" max="9"/>
  </cols>
  <sheetData>
    <row r="1">
      <c r="A1" s="1" t="inlineStr">
        <is>
          <t>ESPECIFICAÇÕES — o texto que vai ao fornecedor</t>
        </is>
      </c>
    </row>
    <row r="2">
      <c r="A2" s="2" t="inlineStr">
        <is>
          <t>preco unitario por unidade indicada, em BRL, com data, validade, prazo de entrega e se o frete esta incluso. Proposta sem data nao entra na comparacao</t>
        </is>
      </c>
    </row>
    <row r="3">
      <c r="A3" s="26" t="inlineStr">
        <is>
          <t>ITEM</t>
        </is>
      </c>
      <c r="B3" s="26" t="inlineStr">
        <is>
          <t>FAMÍLIA</t>
        </is>
      </c>
      <c r="C3" s="26" t="inlineStr">
        <is>
          <t>DESCRIÇÃO</t>
        </is>
      </c>
      <c r="D3" s="26" t="inlineStr">
        <is>
          <t>UN</t>
        </is>
      </c>
      <c r="E3" s="26" t="inlineStr">
        <is>
          <t>QUANTIDADE</t>
        </is>
      </c>
      <c r="F3" s="26" t="inlineStr">
        <is>
          <t>ESPECIFICAÇÃO PARA COTAÇÃO</t>
        </is>
      </c>
      <c r="G3" s="26" t="inlineStr">
        <is>
          <t>NORMAS</t>
        </is>
      </c>
      <c r="H3" s="26" t="inlineStr">
        <is>
          <t>LACUNA A ESCLARECER</t>
        </is>
      </c>
      <c r="I3" s="26" t="inlineStr">
        <is>
          <t>COTÁVEL</t>
        </is>
      </c>
    </row>
    <row r="4">
      <c r="A4" s="9" t="inlineStr">
        <is>
          <t>ACO-PERF</t>
        </is>
      </c>
      <c r="B4" s="10" t="inlineStr">
        <is>
          <t>estrutura</t>
        </is>
      </c>
      <c r="C4" s="11" t="inlineStr">
        <is>
          <t>Perfil formado a frio, barras de 6 m</t>
        </is>
      </c>
      <c r="D4" s="10" t="inlineStr">
        <is>
          <t>kg</t>
        </is>
      </c>
      <c r="E4" s="14" t="n">
        <v>6202.2</v>
      </c>
      <c r="F4" s="11" t="inlineStr">
        <is>
          <t>perfil formado a frio em barra de 6.000 mm; aco ZAR 230, fy 230 MPa, fu 310 MPa; revestimento Z275; massa BRUTA, ja com a perda de corte (12.8 %)</t>
        </is>
      </c>
      <c r="G4" s="11" t="inlineStr">
        <is>
          <t>NBR 14762, NBR 15253, NBR 7008</t>
        </is>
      </c>
      <c r="H4" s="11" t="inlineStr"/>
      <c r="I4" s="18" t="inlineStr">
        <is>
          <t>sim</t>
        </is>
      </c>
    </row>
    <row r="5">
      <c r="A5" s="9" t="inlineStr">
        <is>
          <t>PIR-75</t>
        </is>
      </c>
      <c r="B5" s="10" t="inlineStr">
        <is>
          <t>vedacao</t>
        </is>
      </c>
      <c r="C5" s="11" t="inlineStr">
        <is>
          <t>PIR 75 mm</t>
        </is>
      </c>
      <c r="D5" s="10" t="inlineStr">
        <is>
          <t>m2</t>
        </is>
      </c>
      <c r="E5" s="14" t="n">
        <v>184.3</v>
      </c>
      <c r="F5" s="11" t="inlineStr">
        <is>
          <t>Painel sandwich PIR; chapa 1000 x 12000 mm; espessura 75 mm</t>
        </is>
      </c>
      <c r="G5" s="11" t="inlineStr">
        <is>
          <t>NBR 16373</t>
        </is>
      </c>
      <c r="H5" s="11" t="inlineStr"/>
      <c r="I5" s="18" t="inlineStr">
        <is>
          <t>sim</t>
        </is>
      </c>
    </row>
    <row r="6">
      <c r="A6" s="9" t="inlineStr">
        <is>
          <t>GESSO-12,5</t>
        </is>
      </c>
      <c r="B6" s="10" t="inlineStr">
        <is>
          <t>vedacao</t>
        </is>
      </c>
      <c r="C6" s="11" t="inlineStr">
        <is>
          <t>Chapa de gesso 12.5 mm</t>
        </is>
      </c>
      <c r="D6" s="10" t="inlineStr">
        <is>
          <t>m2</t>
        </is>
      </c>
      <c r="E6" s="14" t="n">
        <v>734.2</v>
      </c>
      <c r="F6" s="11" t="inlineStr">
        <is>
          <t>Chapa de gesso; chapa 1200 x 2400 mm; espessura 12.5 mm</t>
        </is>
      </c>
      <c r="G6" s="11" t="inlineStr">
        <is>
          <t>NBR 14715</t>
        </is>
      </c>
      <c r="H6" s="11" t="inlineStr"/>
      <c r="I6" s="18" t="inlineStr">
        <is>
          <t>sim</t>
        </is>
      </c>
    </row>
    <row r="7">
      <c r="A7" s="9" t="inlineStr">
        <is>
          <t>PLCIM-10</t>
        </is>
      </c>
      <c r="B7" s="10" t="inlineStr">
        <is>
          <t>vedacao</t>
        </is>
      </c>
      <c r="C7" s="11" t="inlineStr">
        <is>
          <t>Placa cimenticia 10 mm</t>
        </is>
      </c>
      <c r="D7" s="10" t="inlineStr">
        <is>
          <t>m2</t>
        </is>
      </c>
      <c r="E7" s="14" t="n">
        <v>237.9</v>
      </c>
      <c r="F7" s="11" t="inlineStr">
        <is>
          <t>Placa cimenticia; chapa 1200 x 2400 mm; espessura 10 mm</t>
        </is>
      </c>
      <c r="G7" s="11" t="inlineStr">
        <is>
          <t>NBR 15498</t>
        </is>
      </c>
      <c r="H7" s="11" t="inlineStr"/>
      <c r="I7" s="18" t="inlineStr">
        <is>
          <t>sim</t>
        </is>
      </c>
    </row>
    <row r="8">
      <c r="A8" s="9" t="inlineStr">
        <is>
          <t>LAROCHA-50</t>
        </is>
      </c>
      <c r="B8" s="10" t="inlineStr">
        <is>
          <t>vedacao</t>
        </is>
      </c>
      <c r="C8" s="11" t="inlineStr">
        <is>
          <t>La de rocha 50 mm</t>
        </is>
      </c>
      <c r="D8" s="10" t="inlineStr">
        <is>
          <t>m2</t>
        </is>
      </c>
      <c r="E8" s="14" t="n">
        <v>384.6</v>
      </c>
      <c r="F8" s="11" t="inlineStr">
        <is>
          <t>La de rocha; chapa 1200 x 25000 mm; espessura 50 mm</t>
        </is>
      </c>
      <c r="G8" s="11" t="inlineStr">
        <is>
          <t>NBR 11722</t>
        </is>
      </c>
      <c r="H8" s="11" t="inlineStr"/>
      <c r="I8" s="18" t="inlineStr">
        <is>
          <t>sim</t>
        </is>
      </c>
    </row>
    <row r="9">
      <c r="A9" s="9" t="inlineStr">
        <is>
          <t>IMP-MANTA</t>
        </is>
      </c>
      <c r="B9" s="10" t="inlineStr">
        <is>
          <t>vedacao</t>
        </is>
      </c>
      <c r="C9" s="11" t="inlineStr">
        <is>
          <t>Impermeabilizacao de area molhada</t>
        </is>
      </c>
      <c r="D9" s="10" t="inlineStr">
        <is>
          <t>m2</t>
        </is>
      </c>
      <c r="E9" s="14" t="n">
        <v>131</v>
      </c>
      <c r="F9" s="11" t="inlineStr">
        <is>
          <t>chapa dobrada / manta conforme descricao</t>
        </is>
      </c>
      <c r="G9" s="11" t="inlineStr">
        <is>
          <t>NBR 10844, NBR 9575</t>
        </is>
      </c>
      <c r="H9" s="11" t="inlineStr"/>
      <c r="I9" s="18" t="inlineStr">
        <is>
          <t>sim</t>
        </is>
      </c>
    </row>
    <row r="10">
      <c r="A10" s="9" t="inlineStr">
        <is>
          <t>XPS-20</t>
        </is>
      </c>
      <c r="B10" s="10" t="inlineStr">
        <is>
          <t>vedacao</t>
        </is>
      </c>
      <c r="C10" s="11" t="inlineStr">
        <is>
          <t>XPS (ISO strip) 20 mm</t>
        </is>
      </c>
      <c r="D10" s="10" t="inlineStr">
        <is>
          <t>m2</t>
        </is>
      </c>
      <c r="E10" s="14" t="n">
        <v>237.9</v>
      </c>
      <c r="F10" s="11" t="inlineStr">
        <is>
          <t>XPS; chapa 600 x 1250 mm; espessura 20 mm</t>
        </is>
      </c>
      <c r="G10" s="11" t="inlineStr">
        <is>
          <t>NBR 11752</t>
        </is>
      </c>
      <c r="H10" s="11" t="inlineStr"/>
      <c r="I10" s="18" t="inlineStr">
        <is>
          <t>sim</t>
        </is>
      </c>
    </row>
    <row r="11">
      <c r="A11" s="9" t="inlineStr">
        <is>
          <t>OSB-18</t>
        </is>
      </c>
      <c r="B11" s="10" t="inlineStr">
        <is>
          <t>vedacao</t>
        </is>
      </c>
      <c r="C11" s="11" t="inlineStr">
        <is>
          <t>OSB estrutural 18 mm</t>
        </is>
      </c>
      <c r="D11" s="10" t="inlineStr">
        <is>
          <t>m2</t>
        </is>
      </c>
      <c r="E11" s="14" t="n">
        <v>117.4</v>
      </c>
      <c r="F11" s="11" t="inlineStr">
        <is>
          <t>OSB estrutural; chapa 1220 x 2440 mm; espessura 18 mm</t>
        </is>
      </c>
      <c r="G11" s="11" t="inlineStr">
        <is>
          <t>NBR 14810 / EN 300</t>
        </is>
      </c>
      <c r="H11" s="11" t="inlineStr"/>
      <c r="I11" s="18" t="inlineStr">
        <is>
          <t>sim</t>
        </is>
      </c>
    </row>
    <row r="12">
      <c r="A12" s="9" t="inlineStr">
        <is>
          <t>CANT</t>
        </is>
      </c>
      <c r="B12" s="10" t="inlineStr">
        <is>
          <t>vedacao</t>
        </is>
      </c>
      <c r="C12" s="11" t="inlineStr">
        <is>
          <t>Cantoneira de canto e arremate</t>
        </is>
      </c>
      <c r="D12" s="10" t="inlineStr">
        <is>
          <t>m</t>
        </is>
      </c>
      <c r="E12" s="14" t="n">
        <v>1009.3</v>
      </c>
      <c r="F12" s="11" t="inlineStr">
        <is>
          <t>cantoneira de canto e arremate</t>
        </is>
      </c>
      <c r="G12" s="11" t="inlineStr">
        <is>
          <t>NBR 15758</t>
        </is>
      </c>
      <c r="H12" s="11" t="inlineStr"/>
      <c r="I12" s="18" t="inlineStr">
        <is>
          <t>sim</t>
        </is>
      </c>
    </row>
    <row r="13">
      <c r="A13" s="9" t="inlineStr">
        <is>
          <t>MASSA</t>
        </is>
      </c>
      <c r="B13" s="10" t="inlineStr">
        <is>
          <t>vedacao</t>
        </is>
      </c>
      <c r="C13" s="11" t="inlineStr">
        <is>
          <t>Massa para junta, 3 demaos</t>
        </is>
      </c>
      <c r="D13" s="10" t="inlineStr">
        <is>
          <t>m</t>
        </is>
      </c>
      <c r="E13" s="14" t="n">
        <v>805.3</v>
      </c>
      <c r="F13" s="11" t="inlineStr">
        <is>
          <t>massa para junta, aplicacao em 3 demaos</t>
        </is>
      </c>
      <c r="G13" s="11" t="inlineStr">
        <is>
          <t>NBR 15758</t>
        </is>
      </c>
      <c r="H13" s="11" t="inlineStr">
        <is>
          <t>rendimento da embalagem (metros por rolo, metros por balde): o modelo mede COMPRIMENTO de junta, nao embalagem</t>
        </is>
      </c>
      <c r="I13" s="18" t="inlineStr">
        <is>
          <t>sim</t>
        </is>
      </c>
    </row>
    <row r="14">
      <c r="A14" s="9" t="inlineStr">
        <is>
          <t>LAVIDRO-48</t>
        </is>
      </c>
      <c r="B14" s="10" t="inlineStr">
        <is>
          <t>vedacao</t>
        </is>
      </c>
      <c r="C14" s="11" t="inlineStr">
        <is>
          <t>La de vidro 48 mm</t>
        </is>
      </c>
      <c r="D14" s="10" t="inlineStr">
        <is>
          <t>m2</t>
        </is>
      </c>
      <c r="E14" s="14" t="n">
        <v>74.09999999999999</v>
      </c>
      <c r="F14" s="11" t="inlineStr">
        <is>
          <t>La de vidro; chapa 1200 x 25000 mm; espessura 48 mm</t>
        </is>
      </c>
      <c r="G14" s="11" t="inlineStr">
        <is>
          <t>NBR 11722</t>
        </is>
      </c>
      <c r="H14" s="11" t="inlineStr"/>
      <c r="I14" s="18" t="inlineStr">
        <is>
          <t>sim</t>
        </is>
      </c>
    </row>
    <row r="15">
      <c r="A15" s="9" t="inlineStr">
        <is>
          <t>GESSORU-12,5</t>
        </is>
      </c>
      <c r="B15" s="10" t="inlineStr">
        <is>
          <t>vedacao</t>
        </is>
      </c>
      <c r="C15" s="11" t="inlineStr">
        <is>
          <t>Chapa de gesso RU 12.5 mm</t>
        </is>
      </c>
      <c r="D15" s="10" t="inlineStr">
        <is>
          <t>m2</t>
        </is>
      </c>
      <c r="E15" s="14" t="n">
        <v>34.1</v>
      </c>
      <c r="F15" s="11" t="inlineStr">
        <is>
          <t>Chapa de gesso RU; chapa 1200 x 2400 mm; espessura 12.5 mm</t>
        </is>
      </c>
      <c r="G15" s="11" t="inlineStr">
        <is>
          <t>NBR 14715</t>
        </is>
      </c>
      <c r="H15" s="11" t="inlineStr"/>
      <c r="I15" s="18" t="inlineStr">
        <is>
          <t>sim</t>
        </is>
      </c>
    </row>
    <row r="16">
      <c r="A16" s="9" t="inlineStr">
        <is>
          <t>PAR-PLA</t>
        </is>
      </c>
      <c r="B16" s="10" t="inlineStr">
        <is>
          <t>vedacao</t>
        </is>
      </c>
      <c r="C16" s="11" t="inlineStr">
        <is>
          <t>Parafuso de placa 25 mm</t>
        </is>
      </c>
      <c r="D16" s="10" t="inlineStr">
        <is>
          <t>un</t>
        </is>
      </c>
      <c r="E16" s="14" t="n">
        <v>9802</v>
      </c>
      <c r="F16" s="11" t="inlineStr">
        <is>
          <t>tipos em uso: AB 4,8x19 ponta broca, AB 5,5x25 ponta broca</t>
        </is>
      </c>
      <c r="G16" s="11" t="inlineStr">
        <is>
          <t>NBR 14762 item 8.4</t>
        </is>
      </c>
      <c r="H16" s="11" t="inlineStr"/>
      <c r="I16" s="18" t="inlineStr">
        <is>
          <t>sim</t>
        </is>
      </c>
    </row>
    <row r="17">
      <c r="A17" s="9" t="inlineStr">
        <is>
          <t>LAVIDRO-50</t>
        </is>
      </c>
      <c r="B17" s="10" t="inlineStr">
        <is>
          <t>vedacao</t>
        </is>
      </c>
      <c r="C17" s="11" t="inlineStr">
        <is>
          <t>La de vidro 50 mm</t>
        </is>
      </c>
      <c r="D17" s="10" t="inlineStr">
        <is>
          <t>m2</t>
        </is>
      </c>
      <c r="E17" s="14" t="n">
        <v>14.9</v>
      </c>
      <c r="F17" s="11" t="inlineStr">
        <is>
          <t>La de vidro; chapa 1200 x 25000 mm; espessura 50 mm</t>
        </is>
      </c>
      <c r="G17" s="11" t="inlineStr">
        <is>
          <t>NBR 11722</t>
        </is>
      </c>
      <c r="H17" s="11" t="inlineStr"/>
      <c r="I17" s="18" t="inlineStr">
        <is>
          <t>sim</t>
        </is>
      </c>
    </row>
    <row r="18">
      <c r="A18" s="9" t="inlineStr">
        <is>
          <t>FITA</t>
        </is>
      </c>
      <c r="B18" s="10" t="inlineStr">
        <is>
          <t>vedacao</t>
        </is>
      </c>
      <c r="C18" s="11" t="inlineStr">
        <is>
          <t>Fita de papel para junta</t>
        </is>
      </c>
      <c r="D18" s="10" t="inlineStr">
        <is>
          <t>m</t>
        </is>
      </c>
      <c r="E18" s="14" t="n">
        <v>805.3</v>
      </c>
      <c r="F18" s="11" t="inlineStr">
        <is>
          <t>fita de papel microperfurada para junta</t>
        </is>
      </c>
      <c r="G18" s="11" t="inlineStr">
        <is>
          <t>NBR 15758</t>
        </is>
      </c>
      <c r="H18" s="11" t="inlineStr">
        <is>
          <t>rendimento da embalagem (metros por rolo, metros por balde): o modelo mede COMPRIMENTO de junta, nao embalagem</t>
        </is>
      </c>
      <c r="I18" s="18" t="inlineStr">
        <is>
          <t>sim</t>
        </is>
      </c>
    </row>
    <row r="19">
      <c r="A19" s="9" t="inlineStr">
        <is>
          <t>COB-RUFO</t>
        </is>
      </c>
      <c r="B19" s="10" t="inlineStr">
        <is>
          <t>cobertura</t>
        </is>
      </c>
      <c r="C19" s="11" t="inlineStr">
        <is>
          <t>Rufo e contrarrufo</t>
        </is>
      </c>
      <c r="D19" s="10" t="inlineStr">
        <is>
          <t>m</t>
        </is>
      </c>
      <c r="E19" s="14" t="n">
        <v>160.8</v>
      </c>
      <c r="F19" s="11" t="inlineStr">
        <is>
          <t>chapa dobrada / manta conforme descricao</t>
        </is>
      </c>
      <c r="G19" s="11" t="inlineStr">
        <is>
          <t>NBR 10844, NBR 9575</t>
        </is>
      </c>
      <c r="H19" s="11" t="inlineStr"/>
      <c r="I19" s="18" t="inlineStr">
        <is>
          <t>sim</t>
        </is>
      </c>
    </row>
    <row r="20">
      <c r="A20" s="9" t="inlineStr">
        <is>
          <t>COB-CALHA</t>
        </is>
      </c>
      <c r="B20" s="10" t="inlineStr">
        <is>
          <t>cobertura</t>
        </is>
      </c>
      <c r="C20" s="11" t="inlineStr">
        <is>
          <t>Calha externa 150x100 mm</t>
        </is>
      </c>
      <c r="D20" s="10" t="inlineStr">
        <is>
          <t>m</t>
        </is>
      </c>
      <c r="E20" s="14" t="n">
        <v>80.40000000000001</v>
      </c>
      <c r="F20" s="11" t="inlineStr">
        <is>
          <t>chapa dobrada / manta conforme descricao</t>
        </is>
      </c>
      <c r="G20" s="11" t="inlineStr">
        <is>
          <t>NBR 10844, NBR 9575</t>
        </is>
      </c>
      <c r="H20" s="11" t="inlineStr"/>
      <c r="I20" s="18" t="inlineStr">
        <is>
          <t>sim</t>
        </is>
      </c>
    </row>
    <row r="21">
      <c r="A21" s="9" t="inlineStr">
        <is>
          <t>PLA-PLACA</t>
        </is>
      </c>
      <c r="B21" s="10" t="inlineStr">
        <is>
          <t>cobertura</t>
        </is>
      </c>
      <c r="C21" s="11" t="inlineStr">
        <is>
          <t>Platibanda: fechamento em placa cimenticia, duas faces</t>
        </is>
      </c>
      <c r="D21" s="10" t="inlineStr">
        <is>
          <t>m2</t>
        </is>
      </c>
      <c r="E21" s="14" t="n">
        <v>71.3</v>
      </c>
      <c r="F21" s="11" t="inlineStr"/>
      <c r="G21" s="11" t="inlineStr"/>
      <c r="H21" s="11" t="inlineStr">
        <is>
          <t>o modelo nao sabe descrever este item para um fornecedor</t>
        </is>
      </c>
      <c r="I21" s="18" t="inlineStr">
        <is>
          <t>com lacuna</t>
        </is>
      </c>
    </row>
    <row r="22">
      <c r="A22" s="9" t="inlineStr">
        <is>
          <t>PLA-GUIA</t>
        </is>
      </c>
      <c r="B22" s="10" t="inlineStr">
        <is>
          <t>cobertura</t>
        </is>
      </c>
      <c r="C22" s="11" t="inlineStr">
        <is>
          <t>Platibanda: guia U 92x38x0,95</t>
        </is>
      </c>
      <c r="D22" s="10" t="inlineStr">
        <is>
          <t>m</t>
        </is>
      </c>
      <c r="E22" s="14" t="n">
        <v>129.6</v>
      </c>
      <c r="F22" s="11" t="inlineStr"/>
      <c r="G22" s="11" t="inlineStr"/>
      <c r="H22" s="11" t="inlineStr">
        <is>
          <t>o modelo nao sabe descrever este item para um fornecedor</t>
        </is>
      </c>
      <c r="I22" s="18" t="inlineStr">
        <is>
          <t>com lacuna</t>
        </is>
      </c>
    </row>
    <row r="23">
      <c r="A23" s="9" t="inlineStr">
        <is>
          <t>COB-PAR</t>
        </is>
      </c>
      <c r="B23" s="10" t="inlineStr">
        <is>
          <t>cobertura</t>
        </is>
      </c>
      <c r="C23" s="11" t="inlineStr">
        <is>
          <t>Parafuso de fixacao do painel</t>
        </is>
      </c>
      <c r="D23" s="10" t="inlineStr">
        <is>
          <t>un</t>
        </is>
      </c>
      <c r="E23" s="14" t="n">
        <v>737</v>
      </c>
      <c r="F23" s="11" t="inlineStr">
        <is>
          <t>chapa dobrada / manta conforme descricao</t>
        </is>
      </c>
      <c r="G23" s="11" t="inlineStr">
        <is>
          <t>NBR 10844, NBR 9575</t>
        </is>
      </c>
      <c r="H23" s="11" t="inlineStr"/>
      <c r="I23" s="18" t="inlineStr">
        <is>
          <t>sim</t>
        </is>
      </c>
    </row>
    <row r="24">
      <c r="A24" s="9" t="inlineStr">
        <is>
          <t>COB-CUME</t>
        </is>
      </c>
      <c r="B24" s="10" t="inlineStr">
        <is>
          <t>cobertura</t>
        </is>
      </c>
      <c r="C24" s="11" t="inlineStr">
        <is>
          <t>Cumeeira</t>
        </is>
      </c>
      <c r="D24" s="10" t="inlineStr">
        <is>
          <t>m</t>
        </is>
      </c>
      <c r="E24" s="14" t="n">
        <v>13.7</v>
      </c>
      <c r="F24" s="11" t="inlineStr">
        <is>
          <t>chapa dobrada / manta conforme descricao</t>
        </is>
      </c>
      <c r="G24" s="11" t="inlineStr">
        <is>
          <t>NBR 10844, NBR 9575</t>
        </is>
      </c>
      <c r="H24" s="11" t="inlineStr"/>
      <c r="I24" s="18" t="inlineStr">
        <is>
          <t>sim</t>
        </is>
      </c>
    </row>
    <row r="25">
      <c r="A25" s="9" t="inlineStr">
        <is>
          <t>PLA-MONT</t>
        </is>
      </c>
      <c r="B25" s="10" t="inlineStr">
        <is>
          <t>cobertura</t>
        </is>
      </c>
      <c r="C25" s="11" t="inlineStr">
        <is>
          <t>Platibanda: montante Ue 90x40x12x0,95</t>
        </is>
      </c>
      <c r="D25" s="10" t="inlineStr">
        <is>
          <t>m</t>
        </is>
      </c>
      <c r="E25" s="14" t="n">
        <v>60</v>
      </c>
      <c r="F25" s="11" t="inlineStr"/>
      <c r="G25" s="11" t="inlineStr"/>
      <c r="H25" s="11" t="inlineStr">
        <is>
          <t>o modelo nao sabe descrever este item para um fornecedor</t>
        </is>
      </c>
      <c r="I25" s="18" t="inlineStr">
        <is>
          <t>com lacuna</t>
        </is>
      </c>
    </row>
    <row r="26">
      <c r="A26" s="9" t="inlineStr">
        <is>
          <t>ESQ-CAIX</t>
        </is>
      </c>
      <c r="B26" s="10" t="inlineStr">
        <is>
          <t>esquadria</t>
        </is>
      </c>
      <c r="C26" s="11" t="inlineStr">
        <is>
          <t>Caixilho de aluminio</t>
        </is>
      </c>
      <c r="D26" s="10" t="inlineStr">
        <is>
          <t>m</t>
        </is>
      </c>
      <c r="E26" s="14" t="n">
        <v>298.1</v>
      </c>
      <c r="F26" s="11" t="inlineStr">
        <is>
          <t>caixilho de aluminio com desempenho ENSAIADO do sistema; vidro conforme quadro, 59.64 m2</t>
        </is>
      </c>
      <c r="G26" s="11" t="inlineStr">
        <is>
          <t>NBR 10821</t>
        </is>
      </c>
      <c r="H26" s="11" t="inlineStr">
        <is>
          <t>classificacao de estanqueidade a agua, ao ar e a carga de vento — exige relatorio de ensaio, nunca valor</t>
        </is>
      </c>
      <c r="I26" s="18" t="inlineStr">
        <is>
          <t>sim</t>
        </is>
      </c>
    </row>
    <row r="27">
      <c r="A27" s="9" t="inlineStr">
        <is>
          <t>ESQ-VIDRO</t>
        </is>
      </c>
      <c r="B27" s="10" t="inlineStr">
        <is>
          <t>esquadria</t>
        </is>
      </c>
      <c r="C27" s="11" t="inlineStr">
        <is>
          <t>Vidro (ver especificacao por vao)</t>
        </is>
      </c>
      <c r="D27" s="10" t="inlineStr">
        <is>
          <t>m2</t>
        </is>
      </c>
      <c r="E27" s="14" t="n">
        <v>59.64</v>
      </c>
      <c r="F27" s="11" t="inlineStr">
        <is>
          <t>caixilho de aluminio com desempenho ENSAIADO do sistema; vidro conforme quadro, 59.64 m2</t>
        </is>
      </c>
      <c r="G27" s="11" t="inlineStr">
        <is>
          <t>NBR 10821</t>
        </is>
      </c>
      <c r="H27" s="11" t="inlineStr">
        <is>
          <t>classificacao de estanqueidade a agua, ao ar e a carga de vento — exige relatorio de ensaio, nunca valor</t>
        </is>
      </c>
      <c r="I27" s="18" t="inlineStr">
        <is>
          <t>sim</t>
        </is>
      </c>
    </row>
    <row r="28">
      <c r="A28" s="9" t="inlineStr">
        <is>
          <t>FER-TRILHO</t>
        </is>
      </c>
      <c r="B28" s="10" t="inlineStr">
        <is>
          <t>esquadria</t>
        </is>
      </c>
      <c r="C28" s="11" t="inlineStr">
        <is>
          <t>Ferragem: trilho</t>
        </is>
      </c>
      <c r="D28" s="10" t="inlineStr">
        <is>
          <t>m</t>
        </is>
      </c>
      <c r="E28" s="14" t="n">
        <v>45.4</v>
      </c>
      <c r="F28" s="11" t="inlineStr">
        <is>
          <t>ferragem de esquadria conforme quadro de vaos; acabamento e sentido de abertura por vao</t>
        </is>
      </c>
      <c r="G28" s="11" t="inlineStr">
        <is>
          <t>NBR 10821</t>
        </is>
      </c>
      <c r="H28" s="11" t="inlineStr">
        <is>
          <t>linha e fabricante da ferragem: a norma de desempenho e do SISTEMA esquadria + ferragem, e cotar ferragem solta nao garante o ensaio</t>
        </is>
      </c>
      <c r="I28" s="18" t="inlineStr">
        <is>
          <t>sim</t>
        </is>
      </c>
    </row>
    <row r="29">
      <c r="A29" s="9" t="inlineStr">
        <is>
          <t>FER-BATENT</t>
        </is>
      </c>
      <c r="B29" s="10" t="inlineStr">
        <is>
          <t>esquadria</t>
        </is>
      </c>
      <c r="C29" s="11" t="inlineStr">
        <is>
          <t>Ferragem: batente</t>
        </is>
      </c>
      <c r="D29" s="10" t="inlineStr">
        <is>
          <t>un</t>
        </is>
      </c>
      <c r="E29" s="14" t="n">
        <v>14</v>
      </c>
      <c r="F29" s="11" t="inlineStr">
        <is>
          <t>ferragem de esquadria conforme quadro de vaos; acabamento e sentido de abertura por vao</t>
        </is>
      </c>
      <c r="G29" s="11" t="inlineStr">
        <is>
          <t>NBR 10821</t>
        </is>
      </c>
      <c r="H29" s="11" t="inlineStr">
        <is>
          <t>linha e fabricante da ferragem: a norma de desempenho e do SISTEMA esquadria + ferragem, e cotar ferragem solta nao garante o ensaio</t>
        </is>
      </c>
      <c r="I29" s="18" t="inlineStr">
        <is>
          <t>sim</t>
        </is>
      </c>
    </row>
    <row r="30">
      <c r="A30" s="9" t="inlineStr">
        <is>
          <t>FER-FECHO</t>
        </is>
      </c>
      <c r="B30" s="10" t="inlineStr">
        <is>
          <t>esquadria</t>
        </is>
      </c>
      <c r="C30" s="11" t="inlineStr">
        <is>
          <t>Ferragem: fecho</t>
        </is>
      </c>
      <c r="D30" s="10" t="inlineStr">
        <is>
          <t>un</t>
        </is>
      </c>
      <c r="E30" s="14" t="n">
        <v>56</v>
      </c>
      <c r="F30" s="11" t="inlineStr">
        <is>
          <t>ferragem de esquadria conforme quadro de vaos; acabamento e sentido de abertura por vao</t>
        </is>
      </c>
      <c r="G30" s="11" t="inlineStr">
        <is>
          <t>NBR 10821</t>
        </is>
      </c>
      <c r="H30" s="11" t="inlineStr">
        <is>
          <t>linha e fabricante da ferragem: a norma de desempenho e do SISTEMA esquadria + ferragem, e cotar ferragem solta nao garante o ensaio</t>
        </is>
      </c>
      <c r="I30" s="18" t="inlineStr">
        <is>
          <t>sim</t>
        </is>
      </c>
    </row>
    <row r="31">
      <c r="A31" s="9" t="inlineStr">
        <is>
          <t>FER-ROLDAN</t>
        </is>
      </c>
      <c r="B31" s="10" t="inlineStr">
        <is>
          <t>esquadria</t>
        </is>
      </c>
      <c r="C31" s="11" t="inlineStr">
        <is>
          <t>Ferragem: roldana</t>
        </is>
      </c>
      <c r="D31" s="10" t="inlineStr">
        <is>
          <t>un</t>
        </is>
      </c>
      <c r="E31" s="14" t="n">
        <v>116</v>
      </c>
      <c r="F31" s="11" t="inlineStr">
        <is>
          <t>ferragem de esquadria conforme quadro de vaos; acabamento e sentido de abertura por vao</t>
        </is>
      </c>
      <c r="G31" s="11" t="inlineStr">
        <is>
          <t>NBR 10821</t>
        </is>
      </c>
      <c r="H31" s="11" t="inlineStr">
        <is>
          <t>linha e fabricante da ferragem: a norma de desempenho e do SISTEMA esquadria + ferragem, e cotar ferragem solta nao garante o ensaio</t>
        </is>
      </c>
      <c r="I31" s="18" t="inlineStr">
        <is>
          <t>sim</t>
        </is>
      </c>
    </row>
    <row r="32">
      <c r="A32" s="9" t="inlineStr">
        <is>
          <t>FER-FECHAD</t>
        </is>
      </c>
      <c r="B32" s="10" t="inlineStr">
        <is>
          <t>esquadria</t>
        </is>
      </c>
      <c r="C32" s="11" t="inlineStr">
        <is>
          <t>Ferragem: fechadura</t>
        </is>
      </c>
      <c r="D32" s="10" t="inlineStr">
        <is>
          <t>un</t>
        </is>
      </c>
      <c r="E32" s="14" t="n">
        <v>14</v>
      </c>
      <c r="F32" s="11" t="inlineStr">
        <is>
          <t>ferragem de esquadria conforme quadro de vaos; acabamento e sentido de abertura por vao</t>
        </is>
      </c>
      <c r="G32" s="11" t="inlineStr">
        <is>
          <t>NBR 10821</t>
        </is>
      </c>
      <c r="H32" s="11" t="inlineStr">
        <is>
          <t>linha e fabricante da ferragem: a norma de desempenho e do SISTEMA esquadria + ferragem, e cotar ferragem solta nao garante o ensaio</t>
        </is>
      </c>
      <c r="I32" s="18" t="inlineStr">
        <is>
          <t>sim</t>
        </is>
      </c>
    </row>
    <row r="33">
      <c r="A33" s="9" t="inlineStr">
        <is>
          <t>FER-DOBRAD</t>
        </is>
      </c>
      <c r="B33" s="10" t="inlineStr">
        <is>
          <t>esquadria</t>
        </is>
      </c>
      <c r="C33" s="11" t="inlineStr">
        <is>
          <t>Ferragem: dobradica</t>
        </is>
      </c>
      <c r="D33" s="10" t="inlineStr">
        <is>
          <t>un</t>
        </is>
      </c>
      <c r="E33" s="14" t="n">
        <v>42</v>
      </c>
      <c r="F33" s="11" t="inlineStr">
        <is>
          <t>ferragem de esquadria conforme quadro de vaos; acabamento e sentido de abertura por vao</t>
        </is>
      </c>
      <c r="G33" s="11" t="inlineStr">
        <is>
          <t>NBR 10821</t>
        </is>
      </c>
      <c r="H33" s="11" t="inlineStr">
        <is>
          <t>linha e fabricante da ferragem: a norma de desempenho e do SISTEMA esquadria + ferragem, e cotar ferragem solta nao garante o ensaio</t>
        </is>
      </c>
      <c r="I33" s="18" t="inlineStr">
        <is>
          <t>sim</t>
        </is>
      </c>
    </row>
    <row r="34">
      <c r="A34" s="9" t="inlineStr">
        <is>
          <t>FUN-CONC</t>
        </is>
      </c>
      <c r="B34" s="10" t="inlineStr">
        <is>
          <t>fundacao</t>
        </is>
      </c>
      <c r="C34" s="11" t="inlineStr">
        <is>
          <t>Concreto fck 30 MPa</t>
        </is>
      </c>
      <c r="D34" s="10" t="inlineStr">
        <is>
          <t>m3</t>
        </is>
      </c>
      <c r="E34" s="14" t="n">
        <v>37.74</v>
      </c>
      <c r="F34" s="11" t="inlineStr">
        <is>
          <t>fck 30 MPa, aco CA-50, tela Q196; (H) ate a sondagem: a especificacao muda com o laudo</t>
        </is>
      </c>
      <c r="G34" s="11" t="inlineStr">
        <is>
          <t>NBR 12655, NBR 6118, NBR 6122</t>
        </is>
      </c>
      <c r="H34" s="11" t="inlineStr"/>
      <c r="I34" s="18" t="inlineStr">
        <is>
          <t>sim</t>
        </is>
      </c>
    </row>
    <row r="35">
      <c r="A35" s="9" t="inlineStr">
        <is>
          <t>FUN-ACO</t>
        </is>
      </c>
      <c r="B35" s="10" t="inlineStr">
        <is>
          <t>fundacao</t>
        </is>
      </c>
      <c r="C35" s="11" t="inlineStr">
        <is>
          <t>Aco CA-50 para radier</t>
        </is>
      </c>
      <c r="D35" s="10" t="inlineStr">
        <is>
          <t>kg</t>
        </is>
      </c>
      <c r="E35" s="14" t="n">
        <v>1530.2</v>
      </c>
      <c r="F35" s="11" t="inlineStr">
        <is>
          <t>fck 30 MPa, aco CA-50, tela Q196; (H) ate a sondagem: a especificacao muda com o laudo</t>
        </is>
      </c>
      <c r="G35" s="11" t="inlineStr">
        <is>
          <t>NBR 12655, NBR 6118, NBR 6122</t>
        </is>
      </c>
      <c r="H35" s="11" t="inlineStr"/>
      <c r="I35" s="18" t="inlineStr">
        <is>
          <t>sim</t>
        </is>
      </c>
    </row>
    <row r="36">
      <c r="A36" s="9" t="inlineStr">
        <is>
          <t>FUN-SUBST</t>
        </is>
      </c>
      <c r="B36" s="10" t="inlineStr">
        <is>
          <t>fundacao</t>
        </is>
      </c>
      <c r="C36" s="11" t="inlineStr">
        <is>
          <t>Substituicao: areia grossa com brita graduada</t>
        </is>
      </c>
      <c r="D36" s="10" t="inlineStr">
        <is>
          <t>m3</t>
        </is>
      </c>
      <c r="E36" s="14" t="n">
        <v>109.1</v>
      </c>
      <c r="F36" s="11" t="inlineStr">
        <is>
          <t>fck 30 MPa, aco CA-50, tela Q196; (H) ate a sondagem: a especificacao muda com o laudo</t>
        </is>
      </c>
      <c r="G36" s="11" t="inlineStr">
        <is>
          <t>NBR 12655, NBR 6118, NBR 6122</t>
        </is>
      </c>
      <c r="H36" s="11" t="inlineStr"/>
      <c r="I36" s="18" t="inlineStr">
        <is>
          <t>sim</t>
        </is>
      </c>
    </row>
    <row r="37">
      <c r="A37" s="9" t="inlineStr">
        <is>
          <t>FUN-TELA</t>
        </is>
      </c>
      <c r="B37" s="10" t="inlineStr">
        <is>
          <t>fundacao</t>
        </is>
      </c>
      <c r="C37" s="11" t="inlineStr">
        <is>
          <t>Tela soldada Q196</t>
        </is>
      </c>
      <c r="D37" s="10" t="inlineStr">
        <is>
          <t>m2</t>
        </is>
      </c>
      <c r="E37" s="14" t="n">
        <v>410</v>
      </c>
      <c r="F37" s="11" t="inlineStr">
        <is>
          <t>fck 30 MPa, aco CA-50, tela Q196; (H) ate a sondagem: a especificacao muda com o laudo</t>
        </is>
      </c>
      <c r="G37" s="11" t="inlineStr">
        <is>
          <t>NBR 12655, NBR 6118, NBR 6122</t>
        </is>
      </c>
      <c r="H37" s="11" t="inlineStr"/>
      <c r="I37" s="18" t="inlineStr">
        <is>
          <t>sim</t>
        </is>
      </c>
    </row>
    <row r="38">
      <c r="A38" s="9" t="inlineStr">
        <is>
          <t>FUN-BOTA</t>
        </is>
      </c>
      <c r="B38" s="10" t="inlineStr">
        <is>
          <t>fundacao</t>
        </is>
      </c>
      <c r="C38" s="11" t="inlineStr">
        <is>
          <t>Bota-fora do material escavado (empolado 25 %)</t>
        </is>
      </c>
      <c r="D38" s="10" t="inlineStr">
        <is>
          <t>m3</t>
        </is>
      </c>
      <c r="E38" s="14" t="n">
        <v>163.6</v>
      </c>
      <c r="F38" s="11" t="inlineStr">
        <is>
          <t>fck 30 MPa, aco CA-50, tela Q196; (H) ate a sondagem: a especificacao muda com o laudo</t>
        </is>
      </c>
      <c r="G38" s="11" t="inlineStr">
        <is>
          <t>NBR 12655, NBR 6118, NBR 6122</t>
        </is>
      </c>
      <c r="H38" s="11" t="inlineStr"/>
      <c r="I38" s="18" t="inlineStr">
        <is>
          <t>sim</t>
        </is>
      </c>
    </row>
    <row r="39">
      <c r="A39" s="9" t="inlineStr">
        <is>
          <t>FUN-ESCAV</t>
        </is>
      </c>
      <c r="B39" s="10" t="inlineStr">
        <is>
          <t>fundacao</t>
        </is>
      </c>
      <c r="C39" s="11" t="inlineStr">
        <is>
          <t>Escavacao do aterro superficial reprovado</t>
        </is>
      </c>
      <c r="D39" s="10" t="inlineStr">
        <is>
          <t>m3</t>
        </is>
      </c>
      <c r="E39" s="14" t="n">
        <v>130.9</v>
      </c>
      <c r="F39" s="11" t="inlineStr">
        <is>
          <t>fck 30 MPa, aco CA-50, tela Q196; (H) ate a sondagem: a especificacao muda com o laudo</t>
        </is>
      </c>
      <c r="G39" s="11" t="inlineStr">
        <is>
          <t>NBR 12655, NBR 6118, NBR 6122</t>
        </is>
      </c>
      <c r="H39" s="11" t="inlineStr"/>
      <c r="I39" s="18" t="inlineStr">
        <is>
          <t>sim</t>
        </is>
      </c>
    </row>
    <row r="40">
      <c r="A40" s="9" t="inlineStr">
        <is>
          <t>FUN-LASTRO</t>
        </is>
      </c>
      <c r="B40" s="10" t="inlineStr">
        <is>
          <t>fundacao</t>
        </is>
      </c>
      <c r="C40" s="11" t="inlineStr">
        <is>
          <t>Lastro de brita graduada</t>
        </is>
      </c>
      <c r="D40" s="10" t="inlineStr">
        <is>
          <t>m3</t>
        </is>
      </c>
      <c r="E40" s="14" t="n">
        <v>21.8</v>
      </c>
      <c r="F40" s="11" t="inlineStr">
        <is>
          <t>fck 30 MPa, aco CA-50, tela Q196; (H) ate a sondagem: a especificacao muda com o laudo</t>
        </is>
      </c>
      <c r="G40" s="11" t="inlineStr">
        <is>
          <t>NBR 12655, NBR 6118, NBR 6122</t>
        </is>
      </c>
      <c r="H40" s="11" t="inlineStr"/>
      <c r="I40" s="18" t="inlineStr">
        <is>
          <t>sim</t>
        </is>
      </c>
    </row>
    <row r="41">
      <c r="A41" s="9" t="inlineStr">
        <is>
          <t>FUN-COMP</t>
        </is>
      </c>
      <c r="B41" s="10" t="inlineStr">
        <is>
          <t>fundacao</t>
        </is>
      </c>
      <c r="C41" s="11" t="inlineStr">
        <is>
          <t>Compactacao controlada, camadas de 250 mm</t>
        </is>
      </c>
      <c r="D41" s="10" t="inlineStr">
        <is>
          <t>m3</t>
        </is>
      </c>
      <c r="E41" s="14" t="n">
        <v>109.1</v>
      </c>
      <c r="F41" s="11" t="inlineStr">
        <is>
          <t>fck 30 MPa, aco CA-50, tela Q196; (H) ate a sondagem: a especificacao muda com o laudo</t>
        </is>
      </c>
      <c r="G41" s="11" t="inlineStr">
        <is>
          <t>NBR 12655, NBR 6118, NBR 6122</t>
        </is>
      </c>
      <c r="H41" s="11" t="inlineStr"/>
      <c r="I41" s="18" t="inlineStr">
        <is>
          <t>sim</t>
        </is>
      </c>
    </row>
    <row r="42">
      <c r="A42" s="9" t="inlineStr">
        <is>
          <t>FUN-FORMA</t>
        </is>
      </c>
      <c r="B42" s="10" t="inlineStr">
        <is>
          <t>fundacao</t>
        </is>
      </c>
      <c r="C42" s="11" t="inlineStr">
        <is>
          <t>Forma de borda e engrossamento do perimetro</t>
        </is>
      </c>
      <c r="D42" s="10" t="inlineStr">
        <is>
          <t>m2</t>
        </is>
      </c>
      <c r="E42" s="14" t="n">
        <v>25.4</v>
      </c>
      <c r="F42" s="11" t="inlineStr">
        <is>
          <t>fck 30 MPa, aco CA-50, tela Q196; (H) ate a sondagem: a especificacao muda com o laudo</t>
        </is>
      </c>
      <c r="G42" s="11" t="inlineStr">
        <is>
          <t>NBR 12655, NBR 6118, NBR 6122</t>
        </is>
      </c>
      <c r="H42" s="11" t="inlineStr"/>
      <c r="I42" s="18" t="inlineStr">
        <is>
          <t>sim</t>
        </is>
      </c>
    </row>
    <row r="43">
      <c r="A43" s="9" t="inlineStr">
        <is>
          <t>FUN-ENSAIO</t>
        </is>
      </c>
      <c r="B43" s="10" t="inlineStr">
        <is>
          <t>fundacao</t>
        </is>
      </c>
      <c r="C43" s="11" t="inlineStr">
        <is>
          <t>Ensaio de densidade in situ por camada</t>
        </is>
      </c>
      <c r="D43" s="10" t="inlineStr">
        <is>
          <t>un</t>
        </is>
      </c>
      <c r="E43" s="14" t="n">
        <v>4</v>
      </c>
      <c r="F43" s="11" t="inlineStr">
        <is>
          <t>fck 30 MPa, aco CA-50, tela Q196; (H) ate a sondagem: a especificacao muda com o laudo</t>
        </is>
      </c>
      <c r="G43" s="11" t="inlineStr">
        <is>
          <t>NBR 12655, NBR 6118, NBR 6122</t>
        </is>
      </c>
      <c r="H43" s="11" t="inlineStr"/>
      <c r="I43" s="18" t="inlineStr">
        <is>
          <t>sim</t>
        </is>
      </c>
    </row>
    <row r="44">
      <c r="A44" s="9" t="inlineStr">
        <is>
          <t>FUN-LONA</t>
        </is>
      </c>
      <c r="B44" s="10" t="inlineStr">
        <is>
          <t>fundacao</t>
        </is>
      </c>
      <c r="C44" s="11" t="inlineStr">
        <is>
          <t>Lona plastica sob o radier</t>
        </is>
      </c>
      <c r="D44" s="10" t="inlineStr">
        <is>
          <t>m2</t>
        </is>
      </c>
      <c r="E44" s="14" t="n">
        <v>205</v>
      </c>
      <c r="F44" s="11" t="inlineStr">
        <is>
          <t>fck 30 MPa, aco CA-50, tela Q196; (H) ate a sondagem: a especificacao muda com o laudo</t>
        </is>
      </c>
      <c r="G44" s="11" t="inlineStr">
        <is>
          <t>NBR 12655, NBR 6118, NBR 6122</t>
        </is>
      </c>
      <c r="H44" s="11" t="inlineStr"/>
      <c r="I44" s="18" t="inlineStr">
        <is>
          <t>sim</t>
        </is>
      </c>
    </row>
    <row r="45">
      <c r="A45" s="9" t="inlineStr">
        <is>
          <t>MEP-CABO</t>
        </is>
      </c>
      <c r="B45" s="10" t="inlineStr">
        <is>
          <t>instalacao</t>
        </is>
      </c>
      <c r="C45" s="11" t="inlineStr">
        <is>
          <t>Cabo de cobre (fase, neutro e terra)</t>
        </is>
      </c>
      <c r="D45" s="10" t="inlineStr">
        <is>
          <t>m</t>
        </is>
      </c>
      <c r="E45" s="14" t="n">
        <v>2834.4</v>
      </c>
      <c r="F45" s="11" t="inlineStr">
        <is>
          <t>tubo, conexao ou condutor conforme descricao</t>
        </is>
      </c>
      <c r="G45" s="11" t="inlineStr">
        <is>
          <t>NBR 5410, NBR 5626, NBR 8160</t>
        </is>
      </c>
      <c r="H45" s="11" t="inlineStr"/>
      <c r="I45" s="18" t="inlineStr">
        <is>
          <t>sim</t>
        </is>
      </c>
    </row>
    <row r="46">
      <c r="A46" s="9" t="inlineStr">
        <is>
          <t>MEP-ELET</t>
        </is>
      </c>
      <c r="B46" s="10" t="inlineStr">
        <is>
          <t>instalacao</t>
        </is>
      </c>
      <c r="C46" s="11" t="inlineStr">
        <is>
          <t>Eletroduto flexivel</t>
        </is>
      </c>
      <c r="D46" s="10" t="inlineStr">
        <is>
          <t>m</t>
        </is>
      </c>
      <c r="E46" s="14" t="n">
        <v>885.8</v>
      </c>
      <c r="F46" s="11" t="inlineStr">
        <is>
          <t>tubo, conexao ou condutor conforme descricao</t>
        </is>
      </c>
      <c r="G46" s="11" t="inlineStr">
        <is>
          <t>NBR 5410, NBR 5626, NBR 8160</t>
        </is>
      </c>
      <c r="H46" s="11" t="inlineStr"/>
      <c r="I46" s="18" t="inlineStr">
        <is>
          <t>sim</t>
        </is>
      </c>
    </row>
    <row r="47">
      <c r="A47" s="9" t="inlineStr">
        <is>
          <t>MEP-FRIGO</t>
        </is>
      </c>
      <c r="B47" s="10" t="inlineStr">
        <is>
          <t>instalacao</t>
        </is>
      </c>
      <c r="C47" s="11" t="inlineStr">
        <is>
          <t>Linha frigorigena</t>
        </is>
      </c>
      <c r="D47" s="10" t="inlineStr">
        <is>
          <t>m</t>
        </is>
      </c>
      <c r="E47" s="14" t="n">
        <v>56</v>
      </c>
      <c r="F47" s="11" t="inlineStr">
        <is>
          <t>tubo, conexao ou condutor conforme descricao</t>
        </is>
      </c>
      <c r="G47" s="11" t="inlineStr">
        <is>
          <t>NBR 5410, NBR 5626, NBR 8160</t>
        </is>
      </c>
      <c r="H47" s="11" t="inlineStr"/>
      <c r="I47" s="18" t="inlineStr">
        <is>
          <t>sim</t>
        </is>
      </c>
    </row>
    <row r="48">
      <c r="A48" s="9" t="inlineStr">
        <is>
          <t>MEP-AGUA25</t>
        </is>
      </c>
      <c r="B48" s="10" t="inlineStr">
        <is>
          <t>instalacao</t>
        </is>
      </c>
      <c r="C48" s="11" t="inlineStr">
        <is>
          <t>Tubo agua fria DN25</t>
        </is>
      </c>
      <c r="D48" s="10" t="inlineStr">
        <is>
          <t>m</t>
        </is>
      </c>
      <c r="E48" s="14" t="n">
        <v>188.1</v>
      </c>
      <c r="F48" s="11" t="inlineStr">
        <is>
          <t>tubo, conexao ou condutor conforme descricao; DN25</t>
        </is>
      </c>
      <c r="G48" s="11" t="inlineStr">
        <is>
          <t>NBR 5410, NBR 5626, NBR 8160</t>
        </is>
      </c>
      <c r="H48" s="11" t="inlineStr"/>
      <c r="I48" s="18" t="inlineStr">
        <is>
          <t>sim</t>
        </is>
      </c>
    </row>
    <row r="49">
      <c r="A49" s="9" t="inlineStr">
        <is>
          <t>MEP-CONEX</t>
        </is>
      </c>
      <c r="B49" s="10" t="inlineStr">
        <is>
          <t>instalacao</t>
        </is>
      </c>
      <c r="C49" s="11" t="inlineStr">
        <is>
          <t>Conexoes hidraulicas</t>
        </is>
      </c>
      <c r="D49" s="10" t="inlineStr">
        <is>
          <t>un</t>
        </is>
      </c>
      <c r="E49" s="14" t="n">
        <v>190</v>
      </c>
      <c r="F49" s="11" t="inlineStr">
        <is>
          <t>tubo, conexao ou condutor conforme descricao</t>
        </is>
      </c>
      <c r="G49" s="11" t="inlineStr">
        <is>
          <t>NBR 5410, NBR 5626, NBR 8160</t>
        </is>
      </c>
      <c r="H49" s="11" t="inlineStr"/>
      <c r="I49" s="18" t="inlineStr">
        <is>
          <t>sim</t>
        </is>
      </c>
    </row>
    <row r="50">
      <c r="A50" s="9" t="inlineStr">
        <is>
          <t>MEP-ESGO40</t>
        </is>
      </c>
      <c r="B50" s="10" t="inlineStr">
        <is>
          <t>instalacao</t>
        </is>
      </c>
      <c r="C50" s="11" t="inlineStr">
        <is>
          <t>Tubo esgoto DN40</t>
        </is>
      </c>
      <c r="D50" s="10" t="inlineStr">
        <is>
          <t>m</t>
        </is>
      </c>
      <c r="E50" s="14" t="n">
        <v>62.2</v>
      </c>
      <c r="F50" s="11" t="inlineStr">
        <is>
          <t>tubo, conexao ou condutor conforme descricao; DN40</t>
        </is>
      </c>
      <c r="G50" s="11" t="inlineStr">
        <is>
          <t>NBR 5410, NBR 5626, NBR 8160</t>
        </is>
      </c>
      <c r="H50" s="11" t="inlineStr"/>
      <c r="I50" s="18" t="inlineStr">
        <is>
          <t>sim</t>
        </is>
      </c>
    </row>
    <row r="51">
      <c r="A51" s="9" t="inlineStr">
        <is>
          <t>MEP-ISOL</t>
        </is>
      </c>
      <c r="B51" s="10" t="inlineStr">
        <is>
          <t>instalacao</t>
        </is>
      </c>
      <c r="C51" s="11" t="inlineStr">
        <is>
          <t>Isolamento de linha</t>
        </is>
      </c>
      <c r="D51" s="10" t="inlineStr">
        <is>
          <t>m</t>
        </is>
      </c>
      <c r="E51" s="14" t="n">
        <v>112</v>
      </c>
      <c r="F51" s="11" t="inlineStr">
        <is>
          <t>tubo, conexao ou condutor conforme descricao</t>
        </is>
      </c>
      <c r="G51" s="11" t="inlineStr">
        <is>
          <t>NBR 5410, NBR 5626, NBR 8160</t>
        </is>
      </c>
      <c r="H51" s="11" t="inlineStr"/>
      <c r="I51" s="18" t="inlineStr">
        <is>
          <t>sim</t>
        </is>
      </c>
    </row>
    <row r="52">
      <c r="A52" s="9" t="inlineStr">
        <is>
          <t>MEP-DISJ</t>
        </is>
      </c>
      <c r="B52" s="10" t="inlineStr">
        <is>
          <t>instalacao</t>
        </is>
      </c>
      <c r="C52" s="11" t="inlineStr">
        <is>
          <t>Disjuntor</t>
        </is>
      </c>
      <c r="D52" s="10" t="inlineStr">
        <is>
          <t>un</t>
        </is>
      </c>
      <c r="E52" s="14" t="n">
        <v>36</v>
      </c>
      <c r="F52" s="11" t="inlineStr">
        <is>
          <t>tubo, conexao ou condutor conforme descricao</t>
        </is>
      </c>
      <c r="G52" s="11" t="inlineStr">
        <is>
          <t>NBR 5410, NBR 5626, NBR 8160</t>
        </is>
      </c>
      <c r="H52" s="11" t="inlineStr"/>
      <c r="I52" s="18" t="inlineStr">
        <is>
          <t>sim</t>
        </is>
      </c>
    </row>
    <row r="53">
      <c r="A53" s="9" t="inlineStr">
        <is>
          <t>MEP-ESGO50</t>
        </is>
      </c>
      <c r="B53" s="10" t="inlineStr">
        <is>
          <t>instalacao</t>
        </is>
      </c>
      <c r="C53" s="11" t="inlineStr">
        <is>
          <t>Tubo esgoto DN50</t>
        </is>
      </c>
      <c r="D53" s="10" t="inlineStr">
        <is>
          <t>m</t>
        </is>
      </c>
      <c r="E53" s="14" t="n">
        <v>50.6</v>
      </c>
      <c r="F53" s="11" t="inlineStr">
        <is>
          <t>tubo, conexao ou condutor conforme descricao; DN50</t>
        </is>
      </c>
      <c r="G53" s="11" t="inlineStr">
        <is>
          <t>NBR 5410, NBR 5626, NBR 8160</t>
        </is>
      </c>
      <c r="H53" s="11" t="inlineStr"/>
      <c r="I53" s="18" t="inlineStr">
        <is>
          <t>sim</t>
        </is>
      </c>
    </row>
    <row r="54">
      <c r="A54" s="9" t="inlineStr">
        <is>
          <t>MEP-CAIXA</t>
        </is>
      </c>
      <c r="B54" s="10" t="inlineStr">
        <is>
          <t>instalacao</t>
        </is>
      </c>
      <c r="C54" s="11" t="inlineStr">
        <is>
          <t>Caixa de passagem e de tomada</t>
        </is>
      </c>
      <c r="D54" s="10" t="inlineStr">
        <is>
          <t>un</t>
        </is>
      </c>
      <c r="E54" s="14" t="n">
        <v>112</v>
      </c>
      <c r="F54" s="11" t="inlineStr">
        <is>
          <t>tubo, conexao ou condutor conforme descricao</t>
        </is>
      </c>
      <c r="G54" s="11" t="inlineStr">
        <is>
          <t>NBR 5410, NBR 5626, NBR 8160</t>
        </is>
      </c>
      <c r="H54" s="11" t="inlineStr"/>
      <c r="I54" s="18" t="inlineStr">
        <is>
          <t>sim</t>
        </is>
      </c>
    </row>
    <row r="55">
      <c r="A55" s="9" t="inlineStr">
        <is>
          <t>MEP-ESGO75</t>
        </is>
      </c>
      <c r="B55" s="10" t="inlineStr">
        <is>
          <t>instalacao</t>
        </is>
      </c>
      <c r="C55" s="11" t="inlineStr">
        <is>
          <t>Tubo esgoto DN75</t>
        </is>
      </c>
      <c r="D55" s="10" t="inlineStr">
        <is>
          <t>m</t>
        </is>
      </c>
      <c r="E55" s="14" t="n">
        <v>38.3</v>
      </c>
      <c r="F55" s="11" t="inlineStr">
        <is>
          <t>tubo, conexao ou condutor conforme descricao; DN75</t>
        </is>
      </c>
      <c r="G55" s="11" t="inlineStr">
        <is>
          <t>NBR 5410, NBR 5626, NBR 8160</t>
        </is>
      </c>
      <c r="H55" s="11" t="inlineStr"/>
      <c r="I55" s="18" t="inlineStr">
        <is>
          <t>sim</t>
        </is>
      </c>
    </row>
    <row r="56">
      <c r="A56" s="9" t="inlineStr">
        <is>
          <t>MEP-ESGO100</t>
        </is>
      </c>
      <c r="B56" s="10" t="inlineStr">
        <is>
          <t>instalacao</t>
        </is>
      </c>
      <c r="C56" s="11" t="inlineStr">
        <is>
          <t>Tubo esgoto DN100</t>
        </is>
      </c>
      <c r="D56" s="10" t="inlineStr">
        <is>
          <t>m</t>
        </is>
      </c>
      <c r="E56" s="14" t="n">
        <v>34.9</v>
      </c>
      <c r="F56" s="11" t="inlineStr">
        <is>
          <t>tubo, conexao ou condutor conforme descricao; DN100</t>
        </is>
      </c>
      <c r="G56" s="11" t="inlineStr">
        <is>
          <t>NBR 5410, NBR 5626, NBR 8160</t>
        </is>
      </c>
      <c r="H56" s="11" t="inlineStr"/>
      <c r="I56" s="18" t="inlineStr">
        <is>
          <t>sim</t>
        </is>
      </c>
    </row>
    <row r="57">
      <c r="A57" s="9" t="inlineStr">
        <is>
          <t>MEP-AGUA20</t>
        </is>
      </c>
      <c r="B57" s="10" t="inlineStr">
        <is>
          <t>instalacao</t>
        </is>
      </c>
      <c r="C57" s="11" t="inlineStr">
        <is>
          <t>Tubo agua quente DN20</t>
        </is>
      </c>
      <c r="D57" s="10" t="inlineStr">
        <is>
          <t>m</t>
        </is>
      </c>
      <c r="E57" s="14" t="n">
        <v>39.8</v>
      </c>
      <c r="F57" s="11" t="inlineStr">
        <is>
          <t>tubo, conexao ou condutor conforme descricao; DN20</t>
        </is>
      </c>
      <c r="G57" s="11" t="inlineStr">
        <is>
          <t>NBR 5410, NBR 5626, NBR 8160</t>
        </is>
      </c>
      <c r="H57" s="11" t="inlineStr"/>
      <c r="I57" s="18" t="inlineStr">
        <is>
          <t>sim</t>
        </is>
      </c>
    </row>
    <row r="58">
      <c r="A58" s="9" t="inlineStr">
        <is>
          <t>MEP-DRENO</t>
        </is>
      </c>
      <c r="B58" s="10" t="inlineStr">
        <is>
          <t>instalacao</t>
        </is>
      </c>
      <c r="C58" s="11" t="inlineStr">
        <is>
          <t>Dreno de condensado</t>
        </is>
      </c>
      <c r="D58" s="10" t="inlineStr">
        <is>
          <t>m</t>
        </is>
      </c>
      <c r="E58" s="14" t="n">
        <v>44.8</v>
      </c>
      <c r="F58" s="11" t="inlineStr">
        <is>
          <t>tubo, conexao ou condutor conforme descricao</t>
        </is>
      </c>
      <c r="G58" s="11" t="inlineStr">
        <is>
          <t>NBR 5410, NBR 5626, NBR 8160</t>
        </is>
      </c>
      <c r="H58" s="11" t="inlineStr"/>
      <c r="I58" s="18" t="inlineStr">
        <is>
          <t>sim</t>
        </is>
      </c>
    </row>
    <row r="59">
      <c r="A59" s="9" t="inlineStr">
        <is>
          <t>MEP-AGUA32</t>
        </is>
      </c>
      <c r="B59" s="10" t="inlineStr">
        <is>
          <t>instalacao</t>
        </is>
      </c>
      <c r="C59" s="11" t="inlineStr">
        <is>
          <t>Tubo agua fria DN32</t>
        </is>
      </c>
      <c r="D59" s="10" t="inlineStr">
        <is>
          <t>m</t>
        </is>
      </c>
      <c r="E59" s="14" t="n">
        <v>5.6</v>
      </c>
      <c r="F59" s="11" t="inlineStr">
        <is>
          <t>tubo, conexao ou condutor conforme descricao; DN32</t>
        </is>
      </c>
      <c r="G59" s="11" t="inlineStr">
        <is>
          <t>NBR 5410, NBR 5626, NBR 8160</t>
        </is>
      </c>
      <c r="H59" s="11" t="inlineStr"/>
      <c r="I59" s="18" t="inlineStr">
        <is>
          <t>sim</t>
        </is>
      </c>
    </row>
    <row r="60">
      <c r="A60" s="9" t="inlineStr">
        <is>
          <t>PAR-EST</t>
        </is>
      </c>
      <c r="B60" s="10" t="inlineStr">
        <is>
          <t>ligacao</t>
        </is>
      </c>
      <c r="C60" s="11" t="inlineStr">
        <is>
          <t>Parafuso estrutural auto-brocante</t>
        </is>
      </c>
      <c r="D60" s="10" t="inlineStr">
        <is>
          <t>un</t>
        </is>
      </c>
      <c r="E60" s="14" t="n">
        <v>5128</v>
      </c>
      <c r="F60" s="11" t="inlineStr">
        <is>
          <t>tipos em uso: AB 4,8x19 ponta broca, AB 5,5x25 ponta broca</t>
        </is>
      </c>
      <c r="G60" s="11" t="inlineStr">
        <is>
          <t>NBR 14762 item 8.4</t>
        </is>
      </c>
      <c r="H60" s="11" t="inlineStr"/>
      <c r="I60" s="18" t="inlineStr">
        <is>
          <t>sim</t>
        </is>
      </c>
    </row>
    <row r="61">
      <c r="A61" s="9" t="inlineStr">
        <is>
          <t>BRI-RIPA</t>
        </is>
      </c>
      <c r="B61" s="10" t="inlineStr">
        <is>
          <t>fachada</t>
        </is>
      </c>
      <c r="C61" s="11" t="inlineStr">
        <is>
          <t>Ripa de fachada: tubular de aluminio 50 x 20 x 1,2 mm</t>
        </is>
      </c>
      <c r="D61" s="10" t="inlineStr">
        <is>
          <t>m</t>
        </is>
      </c>
      <c r="E61" s="14" t="n">
        <v>205.5</v>
      </c>
      <c r="F61" s="11" t="inlineStr"/>
      <c r="G61" s="11" t="inlineStr"/>
      <c r="H61" s="11" t="inlineStr">
        <is>
          <t>o modelo nao sabe descrever este item para um fornecedor</t>
        </is>
      </c>
      <c r="I61" s="18" t="inlineStr">
        <is>
          <t>com lacuna</t>
        </is>
      </c>
    </row>
    <row r="62">
      <c r="A62" s="9" t="inlineStr">
        <is>
          <t>BRI-MEC</t>
        </is>
      </c>
      <c r="B62" s="10" t="inlineStr">
        <is>
          <t>fachada</t>
        </is>
      </c>
      <c r="C62" s="11" t="inlineStr">
        <is>
          <t>Mecanismo de brise movel: guia, roldana e trava</t>
        </is>
      </c>
      <c r="D62" s="10" t="inlineStr">
        <is>
          <t>cj</t>
        </is>
      </c>
      <c r="E62" s="14" t="n">
        <v>2</v>
      </c>
      <c r="F62" s="11" t="inlineStr"/>
      <c r="G62" s="11" t="inlineStr"/>
      <c r="H62" s="11" t="inlineStr">
        <is>
          <t>o modelo nao sabe descrever este item para um fornecedor</t>
        </is>
      </c>
      <c r="I62" s="18" t="inlineStr">
        <is>
          <t>com lacuna</t>
        </is>
      </c>
    </row>
    <row r="63">
      <c r="A63" s="9" t="inlineStr">
        <is>
          <t>BRI-TRAV</t>
        </is>
      </c>
      <c r="B63" s="10" t="inlineStr">
        <is>
          <t>fachada</t>
        </is>
      </c>
      <c r="C63" s="11" t="inlineStr">
        <is>
          <t>Travessa de brise: U 50x25x1,2 aluminio</t>
        </is>
      </c>
      <c r="D63" s="10" t="inlineStr">
        <is>
          <t>m</t>
        </is>
      </c>
      <c r="E63" s="14" t="n">
        <v>33.6</v>
      </c>
      <c r="F63" s="11" t="inlineStr"/>
      <c r="G63" s="11" t="inlineStr"/>
      <c r="H63" s="11" t="inlineStr">
        <is>
          <t>o modelo nao sabe descrever este item para um fornecedor</t>
        </is>
      </c>
      <c r="I63" s="18" t="inlineStr">
        <is>
          <t>com lacuna</t>
        </is>
      </c>
    </row>
    <row r="64">
      <c r="A64" s="9" t="inlineStr">
        <is>
          <t>BRI-FIX</t>
        </is>
      </c>
      <c r="B64" s="10" t="inlineStr">
        <is>
          <t>fachada</t>
        </is>
      </c>
      <c r="C64" s="11" t="inlineStr">
        <is>
          <t>Fixacao de travessa no montante</t>
        </is>
      </c>
      <c r="D64" s="10" t="inlineStr">
        <is>
          <t>un</t>
        </is>
      </c>
      <c r="E64" s="14" t="n">
        <v>66</v>
      </c>
      <c r="F64" s="11" t="inlineStr"/>
      <c r="G64" s="11" t="inlineStr"/>
      <c r="H64" s="11" t="inlineStr">
        <is>
          <t>o modelo nao sabe descrever este item para um fornecedor</t>
        </is>
      </c>
      <c r="I64" s="18" t="inlineStr">
        <is>
          <t>com lacuna</t>
        </is>
      </c>
    </row>
    <row r="65">
      <c r="A65" s="9" t="inlineStr">
        <is>
          <t>EXT-PISO2</t>
        </is>
      </c>
      <c r="B65" s="10" t="inlineStr">
        <is>
          <t>externo</t>
        </is>
      </c>
      <c r="C65" s="11" t="inlineStr">
        <is>
          <t>lounge e circulacao do deck: WPC coextrudado claro</t>
        </is>
      </c>
      <c r="D65" s="10" t="inlineStr">
        <is>
          <t>m2</t>
        </is>
      </c>
      <c r="E65" s="14" t="n">
        <v>76.31999999999999</v>
      </c>
      <c r="F65" s="11" t="inlineStr"/>
      <c r="G65" s="11" t="inlineStr"/>
      <c r="H65" s="11" t="inlineStr">
        <is>
          <t>o modelo nao sabe descrever este item para um fornecedor</t>
        </is>
      </c>
      <c r="I65" s="18" t="inlineStr">
        <is>
          <t>com lacuna</t>
        </is>
      </c>
    </row>
    <row r="66">
      <c r="A66" s="9" t="inlineStr">
        <is>
          <t>EXT-BLOCO</t>
        </is>
      </c>
      <c r="B66" s="10" t="inlineStr">
        <is>
          <t>externo</t>
        </is>
      </c>
      <c r="C66" s="11" t="inlineStr">
        <is>
          <t>Muro: bloco de concreto estrutural 14 x 19 x 39 ap</t>
        </is>
      </c>
      <c r="D66" s="10" t="inlineStr">
        <is>
          <t>un</t>
        </is>
      </c>
      <c r="E66" s="14" t="n">
        <v>3118</v>
      </c>
      <c r="F66" s="11" t="inlineStr"/>
      <c r="G66" s="11" t="inlineStr"/>
      <c r="H66" s="11" t="inlineStr">
        <is>
          <t>o modelo nao sabe descrever este item para um fornecedor</t>
        </is>
      </c>
      <c r="I66" s="18" t="inlineStr">
        <is>
          <t>com lacuna</t>
        </is>
      </c>
    </row>
    <row r="67">
      <c r="A67" s="9" t="inlineStr">
        <is>
          <t>EXT-PISC-EST</t>
        </is>
      </c>
      <c r="B67" s="10" t="inlineStr">
        <is>
          <t>externo</t>
        </is>
      </c>
      <c r="C67" s="11" t="inlineStr">
        <is>
          <t>Piscina: casca de concreto armado 150 mm</t>
        </is>
      </c>
      <c r="D67" s="10" t="inlineStr">
        <is>
          <t>m3</t>
        </is>
      </c>
      <c r="E67" s="14" t="n">
        <v>4.57</v>
      </c>
      <c r="F67" s="11" t="inlineStr"/>
      <c r="G67" s="11" t="inlineStr"/>
      <c r="H67" s="11" t="inlineStr">
        <is>
          <t>o modelo nao sabe descrever este item para um fornecedor</t>
        </is>
      </c>
      <c r="I67" s="18" t="inlineStr">
        <is>
          <t>com lacuna</t>
        </is>
      </c>
    </row>
    <row r="68">
      <c r="A68" s="9" t="inlineStr">
        <is>
          <t>EXT-PISC-REV</t>
        </is>
      </c>
      <c r="B68" s="10" t="inlineStr">
        <is>
          <t>externo</t>
        </is>
      </c>
      <c r="C68" s="11" t="inlineStr">
        <is>
          <t>Piscina: revestimento de fundo e paredes</t>
        </is>
      </c>
      <c r="D68" s="10" t="inlineStr">
        <is>
          <t>m2</t>
        </is>
      </c>
      <c r="E68" s="14" t="n">
        <v>30.43</v>
      </c>
      <c r="F68" s="11" t="inlineStr"/>
      <c r="G68" s="11" t="inlineStr"/>
      <c r="H68" s="11" t="inlineStr">
        <is>
          <t>o modelo nao sabe descrever este item para um fornecedor</t>
        </is>
      </c>
      <c r="I68" s="18" t="inlineStr">
        <is>
          <t>com lacuna</t>
        </is>
      </c>
    </row>
    <row r="69">
      <c r="A69" s="9" t="inlineStr">
        <is>
          <t>EXT-VASO</t>
        </is>
      </c>
      <c r="B69" s="10" t="inlineStr">
        <is>
          <t>externo</t>
        </is>
      </c>
      <c r="C69" s="11" t="inlineStr">
        <is>
          <t>Vaso e planta em vaso</t>
        </is>
      </c>
      <c r="D69" s="10" t="inlineStr">
        <is>
          <t>un</t>
        </is>
      </c>
      <c r="E69" s="14" t="n">
        <v>24</v>
      </c>
      <c r="F69" s="11" t="inlineStr"/>
      <c r="G69" s="11" t="inlineStr"/>
      <c r="H69" s="11" t="inlineStr">
        <is>
          <t>o modelo nao sabe descrever este item para um fornecedor</t>
        </is>
      </c>
      <c r="I69" s="18" t="inlineStr">
        <is>
          <t>com lacuna</t>
        </is>
      </c>
    </row>
    <row r="70">
      <c r="A70" s="9" t="inlineStr">
        <is>
          <t>EXT-GRAMA</t>
        </is>
      </c>
      <c r="B70" s="10" t="inlineStr">
        <is>
          <t>externo</t>
        </is>
      </c>
      <c r="C70" s="11" t="inlineStr">
        <is>
          <t>Grama e canteiro</t>
        </is>
      </c>
      <c r="D70" s="10" t="inlineStr">
        <is>
          <t>m2</t>
        </is>
      </c>
      <c r="E70" s="14" t="n">
        <v>137.16</v>
      </c>
      <c r="F70" s="11" t="inlineStr"/>
      <c r="G70" s="11" t="inlineStr"/>
      <c r="H70" s="11" t="inlineStr">
        <is>
          <t>o modelo nao sabe descrever este item para um fornecedor</t>
        </is>
      </c>
      <c r="I70" s="18" t="inlineStr">
        <is>
          <t>com lacuna</t>
        </is>
      </c>
    </row>
    <row r="71">
      <c r="A71" s="9" t="inlineStr">
        <is>
          <t>EXT-HIDROF</t>
        </is>
      </c>
      <c r="B71" s="10" t="inlineStr">
        <is>
          <t>externo</t>
        </is>
      </c>
      <c r="C71" s="11" t="inlineStr">
        <is>
          <t>Hidrofugante incolor no muro aparente</t>
        </is>
      </c>
      <c r="D71" s="10" t="inlineStr">
        <is>
          <t>m2</t>
        </is>
      </c>
      <c r="E71" s="14" t="n">
        <v>249.5</v>
      </c>
      <c r="F71" s="11" t="inlineStr"/>
      <c r="G71" s="11" t="inlineStr"/>
      <c r="H71" s="11" t="inlineStr">
        <is>
          <t>o modelo nao sabe descrever este item para um fornecedor</t>
        </is>
      </c>
      <c r="I71" s="18" t="inlineStr">
        <is>
          <t>com lacuna</t>
        </is>
      </c>
    </row>
    <row r="72">
      <c r="A72" s="9" t="inlineStr">
        <is>
          <t>EXT-ARV</t>
        </is>
      </c>
      <c r="B72" s="10" t="inlineStr">
        <is>
          <t>externo</t>
        </is>
      </c>
      <c r="C72" s="11" t="inlineStr">
        <is>
          <t>Arvore de porte</t>
        </is>
      </c>
      <c r="D72" s="10" t="inlineStr">
        <is>
          <t>un</t>
        </is>
      </c>
      <c r="E72" s="14" t="n">
        <v>5</v>
      </c>
      <c r="F72" s="11" t="inlineStr"/>
      <c r="G72" s="11" t="inlineStr"/>
      <c r="H72" s="11" t="inlineStr">
        <is>
          <t>o modelo nao sabe descrever este item para um fornecedor</t>
        </is>
      </c>
      <c r="I72" s="18" t="inlineStr">
        <is>
          <t>com lacuna</t>
        </is>
      </c>
    </row>
    <row r="73">
      <c r="A73" s="9" t="inlineStr">
        <is>
          <t>EXT-PISO1</t>
        </is>
      </c>
      <c r="B73" s="10" t="inlineStr">
        <is>
          <t>externo</t>
        </is>
      </c>
      <c r="C73" s="11" t="inlineStr">
        <is>
          <t>faixa seca da piscina: porcelanato externo claro R11</t>
        </is>
      </c>
      <c r="D73" s="10" t="inlineStr">
        <is>
          <t>m2</t>
        </is>
      </c>
      <c r="E73" s="14" t="n">
        <v>24.3</v>
      </c>
      <c r="F73" s="11" t="inlineStr"/>
      <c r="G73" s="11" t="inlineStr"/>
      <c r="H73" s="11" t="inlineStr">
        <is>
          <t>o modelo nao sabe descrever este item para um fornecedor</t>
        </is>
      </c>
      <c r="I73" s="18" t="inlineStr">
        <is>
          <t>com lacuna</t>
        </is>
      </c>
    </row>
    <row r="74">
      <c r="A74" s="9" t="inlineStr">
        <is>
          <t>EXT-BORDA</t>
        </is>
      </c>
      <c r="B74" s="10" t="inlineStr">
        <is>
          <t>externo</t>
        </is>
      </c>
      <c r="C74" s="11" t="inlineStr">
        <is>
          <t>Borda de piscina</t>
        </is>
      </c>
      <c r="D74" s="10" t="inlineStr">
        <is>
          <t>m</t>
        </is>
      </c>
      <c r="E74" s="14" t="n">
        <v>17.4</v>
      </c>
      <c r="F74" s="11" t="inlineStr"/>
      <c r="G74" s="11" t="inlineStr"/>
      <c r="H74" s="11" t="inlineStr">
        <is>
          <t>o modelo nao sabe descrever este item para um fornecedor</t>
        </is>
      </c>
      <c r="I74" s="18" t="inlineStr">
        <is>
          <t>com lacuna</t>
        </is>
      </c>
    </row>
    <row r="75">
      <c r="A75" s="9" t="inlineStr">
        <is>
          <t>EXT-PISO3</t>
        </is>
      </c>
      <c r="B75" s="10" t="inlineStr">
        <is>
          <t>externo</t>
        </is>
      </c>
      <c r="C75" s="11" t="inlineStr">
        <is>
          <t>passeio e acesso: piso drenante intertravado claro</t>
        </is>
      </c>
      <c r="D75" s="10" t="inlineStr">
        <is>
          <t>m2</t>
        </is>
      </c>
      <c r="E75" s="14" t="n">
        <v>30.96</v>
      </c>
      <c r="F75" s="11" t="inlineStr"/>
      <c r="G75" s="11" t="inlineStr"/>
      <c r="H75" s="11" t="inlineStr">
        <is>
          <t>o modelo nao sabe descrever este item para um fornecedor</t>
        </is>
      </c>
      <c r="I75" s="18" t="inlineStr">
        <is>
          <t>com lacuna</t>
        </is>
      </c>
    </row>
    <row r="76">
      <c r="A76" s="9" t="inlineStr">
        <is>
          <t>EXT-PISO4</t>
        </is>
      </c>
      <c r="B76" s="10" t="inlineStr">
        <is>
          <t>externo</t>
        </is>
      </c>
      <c r="C76" s="11" t="inlineStr">
        <is>
          <t>varanda do pavimento superior: porcelanato externo claro R11</t>
        </is>
      </c>
      <c r="D76" s="10" t="inlineStr">
        <is>
          <t>m2</t>
        </is>
      </c>
      <c r="E76" s="14" t="n">
        <v>14.04</v>
      </c>
      <c r="F76" s="11" t="inlineStr"/>
      <c r="G76" s="11" t="inlineStr"/>
      <c r="H76" s="11" t="inlineStr">
        <is>
          <t>o modelo nao sabe descrever este item para um fornecedor</t>
        </is>
      </c>
      <c r="I76" s="18" t="inlineStr">
        <is>
          <t>com lacuna</t>
        </is>
      </c>
    </row>
    <row r="77">
      <c r="A77" s="9" t="inlineStr">
        <is>
          <t>EXT-GRAUTE</t>
        </is>
      </c>
      <c r="B77" s="10" t="inlineStr">
        <is>
          <t>externo</t>
        </is>
      </c>
      <c r="C77" s="11" t="inlineStr">
        <is>
          <t>Graute de cinta e pilarete do muro</t>
        </is>
      </c>
      <c r="D77" s="10" t="inlineStr">
        <is>
          <t>m3</t>
        </is>
      </c>
      <c r="E77" s="14" t="n">
        <v>2.99</v>
      </c>
      <c r="F77" s="11" t="inlineStr"/>
      <c r="G77" s="11" t="inlineStr"/>
      <c r="H77" s="11" t="inlineStr">
        <is>
          <t>o modelo nao sabe descrever este item para um fornecedor</t>
        </is>
      </c>
      <c r="I77" s="18" t="inlineStr">
        <is>
          <t>com lacuna</t>
        </is>
      </c>
    </row>
    <row r="78">
      <c r="A78" s="9" t="inlineStr">
        <is>
          <t>MO-MON</t>
        </is>
      </c>
      <c r="B78" s="10" t="inlineStr">
        <is>
          <t>servico</t>
        </is>
      </c>
      <c r="C78" s="11" t="inlineStr">
        <is>
          <t>Mao de obra de montagem</t>
        </is>
      </c>
      <c r="D78" s="10" t="inlineStr">
        <is>
          <t>h</t>
        </is>
      </c>
      <c r="E78" s="14" t="n">
        <v>681</v>
      </c>
      <c r="F78" s="11" t="inlineStr">
        <is>
          <t>hora de equipe, com encargos e EPI</t>
        </is>
      </c>
      <c r="G78" s="11" t="inlineStr"/>
      <c r="H78" s="11" t="inlineStr">
        <is>
          <t>convencao coletiva vigente e composicao de encargos</t>
        </is>
      </c>
      <c r="I78" s="18" t="inlineStr">
        <is>
          <t>sim</t>
        </is>
      </c>
    </row>
    <row r="79">
      <c r="A79" s="9" t="inlineStr">
        <is>
          <t>MO-FAB</t>
        </is>
      </c>
      <c r="B79" s="10" t="inlineStr">
        <is>
          <t>servico</t>
        </is>
      </c>
      <c r="C79" s="11" t="inlineStr">
        <is>
          <t>Mao de obra de fabrica</t>
        </is>
      </c>
      <c r="D79" s="10" t="inlineStr">
        <is>
          <t>h</t>
        </is>
      </c>
      <c r="E79" s="14" t="n">
        <v>46.4</v>
      </c>
      <c r="F79" s="11" t="inlineStr">
        <is>
          <t>hora de equipe, com encargos e EPI</t>
        </is>
      </c>
      <c r="G79" s="11" t="inlineStr"/>
      <c r="H79" s="11" t="inlineStr">
        <is>
          <t>convencao coletiva vigente e composicao de encargos</t>
        </is>
      </c>
      <c r="I79" s="18" t="inlineStr">
        <is>
          <t>sim</t>
        </is>
      </c>
    </row>
    <row r="81">
      <c r="A81" s="3" t="inlineStr">
        <is>
          <t>ROTA ALTERNATIVA — peça cortada e furada em vez de barra</t>
        </is>
      </c>
    </row>
    <row r="82">
      <c r="A82" s="2" t="inlineStr">
        <is>
          <t>Estes itens NÃO entram no total: são a mesma estrutura comprada pronta. Cotar os dois e comparar contra o custo de corte próprio.</t>
        </is>
      </c>
    </row>
    <row r="83">
      <c r="A83" s="26" t="inlineStr">
        <is>
          <t>ITEM</t>
        </is>
      </c>
      <c r="B83" s="26" t="inlineStr">
        <is>
          <t>DESCRIÇÃO</t>
        </is>
      </c>
      <c r="C83" s="26" t="inlineStr">
        <is>
          <t>UN</t>
        </is>
      </c>
      <c r="D83" s="26" t="inlineStr">
        <is>
          <t>QUANTIDADE</t>
        </is>
      </c>
      <c r="E83" s="26" t="inlineStr">
        <is>
          <t>ESPECIFICAÇÃO</t>
        </is>
      </c>
      <c r="F83" s="26" t="inlineStr">
        <is>
          <t>NORMAS</t>
        </is>
      </c>
    </row>
    <row r="84">
      <c r="A84" s="9" t="inlineStr">
        <is>
          <t>PF-Ue 90x40x12x0,95</t>
        </is>
      </c>
      <c r="B84" s="11" t="inlineStr">
        <is>
          <t>Ue 90x40x12x0,95</t>
        </is>
      </c>
      <c r="C84" s="10" t="inlineStr">
        <is>
          <t>pc</t>
        </is>
      </c>
      <c r="D84" s="14" t="n">
        <v>535</v>
      </c>
      <c r="E84" s="11" t="inlineStr">
        <is>
          <t>peca cortada e furada conforme Ue 90x40x12x0,95; rota ALTERNATIVA a barra: cotar peca pronta so faz sentido contra o custo de corte proprio</t>
        </is>
      </c>
      <c r="F84" s="10" t="inlineStr">
        <is>
          <t>NBR 15253</t>
        </is>
      </c>
    </row>
    <row r="85">
      <c r="A85" s="9" t="inlineStr">
        <is>
          <t>PF-Ue 250x40x15x3,00</t>
        </is>
      </c>
      <c r="B85" s="11" t="inlineStr">
        <is>
          <t>Ue 250x40x15x3,00</t>
        </is>
      </c>
      <c r="C85" s="10" t="inlineStr">
        <is>
          <t>pc</t>
        </is>
      </c>
      <c r="D85" s="14" t="n">
        <v>22</v>
      </c>
      <c r="E85" s="11" t="inlineStr">
        <is>
          <t>peca cortada e furada conforme Ue 250x40x15x3,00; rota ALTERNATIVA a barra: cotar peca pronta so faz sentido contra o custo de corte proprio</t>
        </is>
      </c>
      <c r="F85" s="10" t="inlineStr">
        <is>
          <t>NBR 15253</t>
        </is>
      </c>
    </row>
    <row r="86">
      <c r="A86" s="9" t="inlineStr">
        <is>
          <t>PF-U 92x38x0,95</t>
        </is>
      </c>
      <c r="B86" s="11" t="inlineStr">
        <is>
          <t>U 92x38x0,95</t>
        </is>
      </c>
      <c r="C86" s="10" t="inlineStr">
        <is>
          <t>pc</t>
        </is>
      </c>
      <c r="D86" s="14" t="n">
        <v>234</v>
      </c>
      <c r="E86" s="11" t="inlineStr">
        <is>
          <t>peca cortada e furada conforme U 92x38x0,95; rota ALTERNATIVA a barra: cotar peca pronta so faz sentido contra o custo de corte proprio</t>
        </is>
      </c>
      <c r="F86" s="10" t="inlineStr">
        <is>
          <t>NBR 15253</t>
        </is>
      </c>
    </row>
    <row r="87">
      <c r="A87" s="9" t="inlineStr">
        <is>
          <t>PF-Ue 250x40x12x2,25</t>
        </is>
      </c>
      <c r="B87" s="11" t="inlineStr">
        <is>
          <t>Ue 250x40x12x2,25</t>
        </is>
      </c>
      <c r="C87" s="10" t="inlineStr">
        <is>
          <t>pc</t>
        </is>
      </c>
      <c r="D87" s="14" t="n">
        <v>24</v>
      </c>
      <c r="E87" s="11" t="inlineStr">
        <is>
          <t>peca cortada e furada conforme Ue 250x40x12x2,25; rota ALTERNATIVA a barra: cotar peca pronta so faz sentido contra o custo de corte proprio</t>
        </is>
      </c>
      <c r="F87" s="10" t="inlineStr">
        <is>
          <t>NBR 15253</t>
        </is>
      </c>
    </row>
    <row r="88">
      <c r="A88" s="9" t="inlineStr">
        <is>
          <t>PF-Ue 200x40x12x1,25</t>
        </is>
      </c>
      <c r="B88" s="11" t="inlineStr">
        <is>
          <t>Ue 200x40x12x1,25</t>
        </is>
      </c>
      <c r="C88" s="10" t="inlineStr">
        <is>
          <t>pc</t>
        </is>
      </c>
      <c r="D88" s="14" t="n">
        <v>33</v>
      </c>
      <c r="E88" s="11" t="inlineStr">
        <is>
          <t>peca cortada e furada conforme Ue 200x40x12x1,25; rota ALTERNATIVA a barra: cotar peca pronta so faz sentido contra o custo de corte proprio</t>
        </is>
      </c>
      <c r="F88" s="10" t="inlineStr">
        <is>
          <t>NBR 15253</t>
        </is>
      </c>
    </row>
    <row r="89">
      <c r="A89" s="9" t="inlineStr">
        <is>
          <t>PF-Ue 200x40x12x0,95</t>
        </is>
      </c>
      <c r="B89" s="11" t="inlineStr">
        <is>
          <t>Ue 200x40x12x0,95</t>
        </is>
      </c>
      <c r="C89" s="10" t="inlineStr">
        <is>
          <t>pc</t>
        </is>
      </c>
      <c r="D89" s="14" t="n">
        <v>24</v>
      </c>
      <c r="E89" s="11" t="inlineStr">
        <is>
          <t>peca cortada e furada conforme Ue 200x40x12x0,95; rota ALTERNATIVA a barra: cotar peca pronta so faz sentido contra o custo de corte proprio</t>
        </is>
      </c>
      <c r="F89" s="10" t="inlineStr">
        <is>
          <t>NBR 15253</t>
        </is>
      </c>
    </row>
    <row r="90">
      <c r="A90" s="9" t="inlineStr">
        <is>
          <t>PF-Ue 140x40x12x0,80</t>
        </is>
      </c>
      <c r="B90" s="11" t="inlineStr">
        <is>
          <t>Ue 140x40x12x0,80</t>
        </is>
      </c>
      <c r="C90" s="10" t="inlineStr">
        <is>
          <t>pc</t>
        </is>
      </c>
      <c r="D90" s="14" t="n">
        <v>53</v>
      </c>
      <c r="E90" s="11" t="inlineStr">
        <is>
          <t>peca cortada e furada conforme Ue 140x40x12x0,80; rota ALTERNATIVA a barra: cotar peca pronta so faz sentido contra o custo de corte proprio</t>
        </is>
      </c>
      <c r="F90" s="10" t="inlineStr">
        <is>
          <t>NBR 15253</t>
        </is>
      </c>
    </row>
    <row r="91">
      <c r="A91" s="9" t="inlineStr">
        <is>
          <t>PF-Ue 90x40x12x1,25</t>
        </is>
      </c>
      <c r="B91" s="11" t="inlineStr">
        <is>
          <t>Ue 90x40x12x1,25</t>
        </is>
      </c>
      <c r="C91" s="10" t="inlineStr">
        <is>
          <t>pc</t>
        </is>
      </c>
      <c r="D91" s="14" t="n">
        <v>49</v>
      </c>
      <c r="E91" s="11" t="inlineStr">
        <is>
          <t>peca cortada e furada conforme Ue 90x40x12x1,25; rota ALTERNATIVA a barra: cotar peca pronta so faz sentido contra o custo de corte proprio</t>
        </is>
      </c>
      <c r="F91" s="10" t="inlineStr">
        <is>
          <t>NBR 15253</t>
        </is>
      </c>
    </row>
    <row r="92">
      <c r="A92" s="9" t="inlineStr">
        <is>
          <t>PF-Ue 140x40x12x1,25</t>
        </is>
      </c>
      <c r="B92" s="11" t="inlineStr">
        <is>
          <t>Ue 140x40x12x1,25</t>
        </is>
      </c>
      <c r="C92" s="10" t="inlineStr">
        <is>
          <t>pc</t>
        </is>
      </c>
      <c r="D92" s="14" t="n">
        <v>19</v>
      </c>
      <c r="E92" s="11" t="inlineStr">
        <is>
          <t>peca cortada e furada conforme Ue 140x40x12x1,25; rota ALTERNATIVA a barra: cotar peca pronta so faz sentido contra o custo de corte proprio</t>
        </is>
      </c>
      <c r="F92" s="10" t="inlineStr">
        <is>
          <t>NBR 15253</t>
        </is>
      </c>
    </row>
    <row r="93">
      <c r="A93" s="9" t="inlineStr">
        <is>
          <t>PF-Fita 38x0,80</t>
        </is>
      </c>
      <c r="B93" s="11" t="inlineStr">
        <is>
          <t>Fita 38x0,80</t>
        </is>
      </c>
      <c r="C93" s="10" t="inlineStr">
        <is>
          <t>pc</t>
        </is>
      </c>
      <c r="D93" s="14" t="n">
        <v>28</v>
      </c>
      <c r="E93" s="11" t="inlineStr">
        <is>
          <t>peca cortada e furada conforme Fita 38x0,80; rota ALTERNATIVA a barra: cotar peca pronta so faz sentido contra o custo de corte proprio</t>
        </is>
      </c>
      <c r="F93" s="10" t="inlineStr">
        <is>
          <t>NBR 15253</t>
        </is>
      </c>
    </row>
    <row r="94">
      <c r="A94" s="9" t="inlineStr">
        <is>
          <t>PLACA</t>
        </is>
      </c>
      <c r="B94" s="11" t="inlineStr">
        <is>
          <t>Placa (gesso, RU e cimenticia)</t>
        </is>
      </c>
      <c r="C94" s="10" t="inlineStr">
        <is>
          <t>pc</t>
        </is>
      </c>
      <c r="D94" s="14" t="n">
        <v>702</v>
      </c>
      <c r="E94" s="11" t="inlineStr">
        <is>
          <t>placa inteira, por formato — rota alternativa a compra por m2; formatos: 1200 x 2400, 1200 x 25000, 600 x 1250</t>
        </is>
      </c>
      <c r="F94" s="10" t="inlineStr">
        <is>
          <t>NBR 15758</t>
        </is>
      </c>
    </row>
  </sheetData>
  <autoFilter ref="A3:I79"/>
  <conditionalFormatting sqref="I4:I79">
    <cfRule type="cellIs" priority="1" operator="equal" dxfId="1">
      <formula>"com lacuna"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34" customWidth="1" min="3" max="3"/>
    <col width="14" customWidth="1" min="4" max="4"/>
    <col width="40" customWidth="1" min="5" max="5"/>
    <col width="20" customWidth="1" min="6" max="6"/>
    <col width="24" customWidth="1" min="7" max="7"/>
    <col width="15" customWidth="1" min="8" max="8"/>
    <col width="12" customWidth="1" min="9" max="9"/>
    <col width="16" customWidth="1" min="10" max="10"/>
    <col width="13" customWidth="1" min="11" max="11"/>
    <col width="22" customWidth="1" min="12" max="12"/>
    <col width="28" customWidth="1" min="13" max="13"/>
  </cols>
  <sheetData>
    <row r="1">
      <c r="A1" s="1" t="inlineStr">
        <is>
          <t>FORNECEDORES PESQUISADOS</t>
        </is>
      </c>
    </row>
    <row r="2">
      <c r="A2" s="2" t="inlineStr">
        <is>
          <t>Nomes levantados por pesquisa de mercado. Preço NÃO foi coletado: loja de material não publica valor em página indexável. Complete contato, proposta e prazo ao pedir.</t>
        </is>
      </c>
    </row>
    <row r="3">
      <c r="A3" s="26" t="inlineStr">
        <is>
          <t>FAMÍLIA</t>
        </is>
      </c>
      <c r="B3" s="26" t="inlineStr">
        <is>
          <t>Nº</t>
        </is>
      </c>
      <c r="C3" s="26" t="inlineStr">
        <is>
          <t>FORNECEDOR</t>
        </is>
      </c>
      <c r="D3" s="26" t="inlineStr">
        <is>
          <t>PRAÇA</t>
        </is>
      </c>
      <c r="E3" s="26" t="inlineStr">
        <is>
          <t>O QUE FORNECE</t>
        </is>
      </c>
      <c r="F3" s="26" t="inlineStr">
        <is>
          <t>CONTATO</t>
        </is>
      </c>
      <c r="G3" s="26" t="inlineStr">
        <is>
          <t>TELEFONE / E-MAIL</t>
        </is>
      </c>
      <c r="H3" s="26" t="inlineStr">
        <is>
          <t>DATA DA PROPOSTA</t>
        </is>
      </c>
      <c r="I3" s="26" t="inlineStr">
        <is>
          <t>VALIDADE</t>
        </is>
      </c>
      <c r="J3" s="26" t="inlineStr">
        <is>
          <t>PRAZO DE ENTREGA</t>
        </is>
      </c>
      <c r="K3" s="26" t="inlineStr">
        <is>
          <t>FRETE INCLUSO?</t>
        </is>
      </c>
      <c r="L3" s="26" t="inlineStr">
        <is>
          <t>CONDIÇÃO DE PAGAMENTO</t>
        </is>
      </c>
      <c r="M3" s="26" t="inlineStr">
        <is>
          <t>OBSERVAÇÃO</t>
        </is>
      </c>
    </row>
    <row r="4">
      <c r="A4" s="9" t="inlineStr">
        <is>
          <t>vedacao</t>
        </is>
      </c>
      <c r="B4" s="18" t="n">
        <v>1</v>
      </c>
      <c r="C4" s="10" t="inlineStr">
        <is>
          <t>Du Norte Comercio</t>
        </is>
      </c>
      <c r="D4" s="36" t="inlineStr">
        <is>
          <t>Manaus/AM</t>
        </is>
      </c>
      <c r="E4" s="11" t="inlineStr">
        <is>
          <t>distribuidora de materiais</t>
        </is>
      </c>
      <c r="F4" s="37" t="n"/>
      <c r="G4" s="37" t="n"/>
      <c r="H4" s="38" t="n"/>
      <c r="I4" s="38" t="n"/>
      <c r="J4" s="37" t="n"/>
      <c r="K4" s="37" t="n"/>
      <c r="L4" s="37" t="n"/>
      <c r="M4" s="37" t="n"/>
    </row>
    <row r="5">
      <c r="A5" s="10" t="inlineStr">
        <is>
          <t>vedacao</t>
        </is>
      </c>
      <c r="B5" s="18" t="n">
        <v>2</v>
      </c>
      <c r="C5" s="10" t="inlineStr">
        <is>
          <t>Knauf / Placo</t>
        </is>
      </c>
      <c r="D5" s="10" t="inlineStr">
        <is>
          <t>Nacional</t>
        </is>
      </c>
      <c r="E5" s="11" t="inlineStr">
        <is>
          <t>chapa de gesso, fabricante</t>
        </is>
      </c>
      <c r="F5" s="37" t="n"/>
      <c r="G5" s="37" t="n"/>
      <c r="H5" s="38" t="n"/>
      <c r="I5" s="38" t="n"/>
      <c r="J5" s="37" t="n"/>
      <c r="K5" s="37" t="n"/>
      <c r="L5" s="37" t="n"/>
      <c r="M5" s="37" t="n"/>
    </row>
    <row r="6">
      <c r="A6" s="10" t="inlineStr">
        <is>
          <t>vedacao</t>
        </is>
      </c>
      <c r="B6" s="18" t="n">
        <v>3</v>
      </c>
      <c r="C6" s="10" t="inlineStr">
        <is>
          <t>Brasilit / Eternit</t>
        </is>
      </c>
      <c r="D6" s="10" t="inlineStr">
        <is>
          <t>Nacional</t>
        </is>
      </c>
      <c r="E6" s="11" t="inlineStr">
        <is>
          <t>placa cimenticia</t>
        </is>
      </c>
      <c r="F6" s="37" t="n"/>
      <c r="G6" s="37" t="n"/>
      <c r="H6" s="38" t="n"/>
      <c r="I6" s="38" t="n"/>
      <c r="J6" s="37" t="n"/>
      <c r="K6" s="37" t="n"/>
      <c r="L6" s="37" t="n"/>
      <c r="M6" s="37" t="n"/>
    </row>
    <row r="7">
      <c r="A7" s="10" t="inlineStr">
        <is>
          <t>vedacao</t>
        </is>
      </c>
      <c r="B7" s="18" t="n">
        <v>4</v>
      </c>
      <c r="C7" s="10" t="inlineStr">
        <is>
          <t>Isover / Saint-Gobain</t>
        </is>
      </c>
      <c r="D7" s="10" t="inlineStr">
        <is>
          <t>Nacional</t>
        </is>
      </c>
      <c r="E7" s="11" t="inlineStr">
        <is>
          <t>la de rocha e la de vidro</t>
        </is>
      </c>
      <c r="F7" s="37" t="n"/>
      <c r="G7" s="37" t="n"/>
      <c r="H7" s="38" t="n"/>
      <c r="I7" s="38" t="n"/>
      <c r="J7" s="37" t="n"/>
      <c r="K7" s="37" t="n"/>
      <c r="L7" s="37" t="n"/>
      <c r="M7" s="37" t="n"/>
    </row>
    <row r="8">
      <c r="A8" s="10" t="inlineStr">
        <is>
          <t>vedacao</t>
        </is>
      </c>
      <c r="B8" s="18" t="n">
        <v>5</v>
      </c>
      <c r="C8" s="10" t="inlineStr">
        <is>
          <t>Obramax</t>
        </is>
      </c>
      <c r="D8" s="10" t="inlineStr">
        <is>
          <t>Nacional</t>
        </is>
      </c>
      <c r="E8" s="11" t="inlineStr">
        <is>
          <t>distribuidor de construcao a seco</t>
        </is>
      </c>
      <c r="F8" s="37" t="n"/>
      <c r="G8" s="37" t="n"/>
      <c r="H8" s="38" t="n"/>
      <c r="I8" s="38" t="n"/>
      <c r="J8" s="37" t="n"/>
      <c r="K8" s="37" t="n"/>
      <c r="L8" s="37" t="n"/>
      <c r="M8" s="37" t="n"/>
    </row>
    <row r="9">
      <c r="A9" s="9" t="inlineStr">
        <is>
          <t>esquadria</t>
        </is>
      </c>
      <c r="B9" s="18" t="n">
        <v>1</v>
      </c>
      <c r="C9" s="10" t="inlineStr">
        <is>
          <t>Metalurgica Aluminova</t>
        </is>
      </c>
      <c r="D9" s="36" t="inlineStr">
        <is>
          <t>Manaus/AM</t>
        </is>
      </c>
      <c r="E9" s="11" t="inlineStr">
        <is>
          <t>esquadria de aluminio e vidro temperado, 21 anos de praca</t>
        </is>
      </c>
      <c r="F9" s="37" t="n"/>
      <c r="G9" s="37" t="n"/>
      <c r="H9" s="38" t="n"/>
      <c r="I9" s="38" t="n"/>
      <c r="J9" s="37" t="n"/>
      <c r="K9" s="37" t="n"/>
      <c r="L9" s="37" t="n"/>
      <c r="M9" s="37" t="n"/>
    </row>
    <row r="10">
      <c r="A10" s="10" t="inlineStr">
        <is>
          <t>esquadria</t>
        </is>
      </c>
      <c r="B10" s="18" t="n">
        <v>2</v>
      </c>
      <c r="C10" s="10" t="inlineStr">
        <is>
          <t>Esquadrias Alufynestra</t>
        </is>
      </c>
      <c r="D10" s="36" t="inlineStr">
        <is>
          <t>Manaus/AM</t>
        </is>
      </c>
      <c r="E10" s="11" t="inlineStr">
        <is>
          <t>esquadria de aluminio</t>
        </is>
      </c>
      <c r="F10" s="37" t="n"/>
      <c r="G10" s="37" t="n"/>
      <c r="H10" s="38" t="n"/>
      <c r="I10" s="38" t="n"/>
      <c r="J10" s="37" t="n"/>
      <c r="K10" s="37" t="n"/>
      <c r="L10" s="37" t="n"/>
      <c r="M10" s="37" t="n"/>
    </row>
    <row r="11">
      <c r="A11" s="10" t="inlineStr">
        <is>
          <t>esquadria</t>
        </is>
      </c>
      <c r="B11" s="18" t="n">
        <v>3</v>
      </c>
      <c r="C11" s="10" t="inlineStr">
        <is>
          <t>Serralheria e Vidracaria Lopes</t>
        </is>
      </c>
      <c r="D11" s="36" t="inlineStr">
        <is>
          <t>Manaus/AM</t>
        </is>
      </c>
      <c r="E11" s="11" t="inlineStr">
        <is>
          <t>aluminio e temperado</t>
        </is>
      </c>
      <c r="F11" s="37" t="n"/>
      <c r="G11" s="37" t="n"/>
      <c r="H11" s="38" t="n"/>
      <c r="I11" s="38" t="n"/>
      <c r="J11" s="37" t="n"/>
      <c r="K11" s="37" t="n"/>
      <c r="L11" s="37" t="n"/>
      <c r="M11" s="37" t="n"/>
    </row>
    <row r="12">
      <c r="A12" s="10" t="inlineStr">
        <is>
          <t>esquadria</t>
        </is>
      </c>
      <c r="B12" s="18" t="n">
        <v>4</v>
      </c>
      <c r="C12" s="10" t="inlineStr">
        <is>
          <t>Fabrica da Esquadria</t>
        </is>
      </c>
      <c r="D12" s="10" t="inlineStr">
        <is>
          <t>Nacional</t>
        </is>
      </c>
      <c r="E12" s="11" t="inlineStr">
        <is>
          <t>linha Suprema</t>
        </is>
      </c>
      <c r="F12" s="37" t="n"/>
      <c r="G12" s="37" t="n"/>
      <c r="H12" s="38" t="n"/>
      <c r="I12" s="38" t="n"/>
      <c r="J12" s="37" t="n"/>
      <c r="K12" s="37" t="n"/>
      <c r="L12" s="37" t="n"/>
      <c r="M12" s="37" t="n"/>
    </row>
    <row r="13">
      <c r="A13" s="10" t="inlineStr">
        <is>
          <t>esquadria</t>
        </is>
      </c>
      <c r="B13" s="18" t="n">
        <v>5</v>
      </c>
      <c r="C13" s="10" t="inlineStr">
        <is>
          <t>Gold Esquadrias</t>
        </is>
      </c>
      <c r="D13" s="10" t="inlineStr">
        <is>
          <t>Nacional</t>
        </is>
      </c>
      <c r="E13" s="11" t="inlineStr">
        <is>
          <t>linha Suprema</t>
        </is>
      </c>
      <c r="F13" s="37" t="n"/>
      <c r="G13" s="37" t="n"/>
      <c r="H13" s="38" t="n"/>
      <c r="I13" s="38" t="n"/>
      <c r="J13" s="37" t="n"/>
      <c r="K13" s="37" t="n"/>
      <c r="L13" s="37" t="n"/>
      <c r="M13" s="37" t="n"/>
    </row>
    <row r="14">
      <c r="A14" s="9" t="inlineStr">
        <is>
          <t>externo</t>
        </is>
      </c>
      <c r="B14" s="18" t="n">
        <v>1</v>
      </c>
      <c r="C14" s="10" t="inlineStr">
        <is>
          <t>Du Norte Comercio</t>
        </is>
      </c>
      <c r="D14" s="36" t="inlineStr">
        <is>
          <t>Manaus/AM</t>
        </is>
      </c>
      <c r="E14" s="11" t="inlineStr">
        <is>
          <t>bloco, areia e brita</t>
        </is>
      </c>
      <c r="F14" s="37" t="n"/>
      <c r="G14" s="37" t="n"/>
      <c r="H14" s="38" t="n"/>
      <c r="I14" s="38" t="n"/>
      <c r="J14" s="37" t="n"/>
      <c r="K14" s="37" t="n"/>
      <c r="L14" s="37" t="n"/>
      <c r="M14" s="37" t="n"/>
    </row>
    <row r="15">
      <c r="A15" s="10" t="inlineStr">
        <is>
          <t>externo</t>
        </is>
      </c>
      <c r="B15" s="18" t="n">
        <v>2</v>
      </c>
      <c r="C15" s="10" t="inlineStr">
        <is>
          <t>Loja do Rei</t>
        </is>
      </c>
      <c r="D15" s="36" t="inlineStr">
        <is>
          <t>Manaus/AM</t>
        </is>
      </c>
      <c r="E15" s="11" t="inlineStr">
        <is>
          <t>bloco de concreto estrutural</t>
        </is>
      </c>
      <c r="F15" s="37" t="n"/>
      <c r="G15" s="37" t="n"/>
      <c r="H15" s="38" t="n"/>
      <c r="I15" s="38" t="n"/>
      <c r="J15" s="37" t="n"/>
      <c r="K15" s="37" t="n"/>
      <c r="L15" s="37" t="n"/>
      <c r="M15" s="37" t="n"/>
    </row>
    <row r="16">
      <c r="A16" s="10" t="inlineStr">
        <is>
          <t>externo</t>
        </is>
      </c>
      <c r="B16" s="18" t="n">
        <v>3</v>
      </c>
      <c r="C16" s="10" t="inlineStr">
        <is>
          <t>O K Representacao de Material de Construcao</t>
        </is>
      </c>
      <c r="D16" s="36" t="inlineStr">
        <is>
          <t>Manaus/AM</t>
        </is>
      </c>
      <c r="E16" s="11" t="inlineStr">
        <is>
          <t>representacao e distribuicao</t>
        </is>
      </c>
      <c r="F16" s="37" t="n"/>
      <c r="G16" s="37" t="n"/>
      <c r="H16" s="38" t="n"/>
      <c r="I16" s="38" t="n"/>
      <c r="J16" s="37" t="n"/>
      <c r="K16" s="37" t="n"/>
      <c r="L16" s="37" t="n"/>
      <c r="M16" s="37" t="n"/>
    </row>
    <row r="17">
      <c r="A17" s="10" t="inlineStr">
        <is>
          <t>externo</t>
        </is>
      </c>
      <c r="B17" s="18" t="n">
        <v>4</v>
      </c>
      <c r="C17" s="10" t="inlineStr">
        <is>
          <t>Portobello / Eliane / Portinari</t>
        </is>
      </c>
      <c r="D17" s="10" t="inlineStr">
        <is>
          <t>Nacional</t>
        </is>
      </c>
      <c r="E17" s="11" t="inlineStr">
        <is>
          <t>porcelanato externo</t>
        </is>
      </c>
      <c r="F17" s="37" t="n"/>
      <c r="G17" s="37" t="n"/>
      <c r="H17" s="38" t="n"/>
      <c r="I17" s="38" t="n"/>
      <c r="J17" s="37" t="n"/>
      <c r="K17" s="37" t="n"/>
      <c r="L17" s="37" t="n"/>
      <c r="M17" s="37" t="n"/>
    </row>
    <row r="18">
      <c r="A18" s="10" t="inlineStr">
        <is>
          <t>externo</t>
        </is>
      </c>
      <c r="B18" s="18" t="n">
        <v>5</v>
      </c>
      <c r="C18" s="10" t="inlineStr">
        <is>
          <t>Fabricantes de WPC (deck coextrudado)</t>
        </is>
      </c>
      <c r="D18" s="10" t="inlineStr">
        <is>
          <t>Nacional</t>
        </is>
      </c>
      <c r="E18" s="11" t="inlineStr">
        <is>
          <t>deck de madeira plastica</t>
        </is>
      </c>
      <c r="F18" s="37" t="n"/>
      <c r="G18" s="37" t="n"/>
      <c r="H18" s="38" t="n"/>
      <c r="I18" s="38" t="n"/>
      <c r="J18" s="37" t="n"/>
      <c r="K18" s="37" t="n"/>
      <c r="L18" s="37" t="n"/>
      <c r="M18" s="37" t="n"/>
    </row>
    <row r="19">
      <c r="A19" s="9" t="inlineStr">
        <is>
          <t>fundacao</t>
        </is>
      </c>
      <c r="B19" s="18" t="n">
        <v>1</v>
      </c>
      <c r="C19" s="10" t="inlineStr">
        <is>
          <t>Du Norte Comercio</t>
        </is>
      </c>
      <c r="D19" s="36" t="inlineStr">
        <is>
          <t>Manaus/AM</t>
        </is>
      </c>
      <c r="E19" s="11" t="inlineStr">
        <is>
          <t>cimento, areia e brita</t>
        </is>
      </c>
      <c r="F19" s="37" t="n"/>
      <c r="G19" s="37" t="n"/>
      <c r="H19" s="38" t="n"/>
      <c r="I19" s="38" t="n"/>
      <c r="J19" s="37" t="n"/>
      <c r="K19" s="37" t="n"/>
      <c r="L19" s="37" t="n"/>
      <c r="M19" s="37" t="n"/>
    </row>
    <row r="20">
      <c r="A20" s="10" t="inlineStr">
        <is>
          <t>fundacao</t>
        </is>
      </c>
      <c r="B20" s="18" t="n">
        <v>2</v>
      </c>
      <c r="C20" s="10" t="inlineStr">
        <is>
          <t>Loja do Rei Comercio de Material de Construcao</t>
        </is>
      </c>
      <c r="D20" s="36" t="inlineStr">
        <is>
          <t>Manaus/AM</t>
        </is>
      </c>
      <c r="E20" s="11" t="inlineStr">
        <is>
          <t>maior faturamento do setor na praca</t>
        </is>
      </c>
      <c r="F20" s="37" t="n"/>
      <c r="G20" s="37" t="n"/>
      <c r="H20" s="38" t="n"/>
      <c r="I20" s="38" t="n"/>
      <c r="J20" s="37" t="n"/>
      <c r="K20" s="37" t="n"/>
      <c r="L20" s="37" t="n"/>
      <c r="M20" s="37" t="n"/>
    </row>
    <row r="21">
      <c r="A21" s="10" t="inlineStr">
        <is>
          <t>fundacao</t>
        </is>
      </c>
      <c r="B21" s="18" t="n">
        <v>3</v>
      </c>
      <c r="C21" s="10" t="inlineStr">
        <is>
          <t>Bacuri Madeiras e Material de Construcao</t>
        </is>
      </c>
      <c r="D21" s="36" t="inlineStr">
        <is>
          <t>Manaus/AM</t>
        </is>
      </c>
      <c r="E21" s="11" t="inlineStr">
        <is>
          <t>insumos</t>
        </is>
      </c>
      <c r="F21" s="37" t="n"/>
      <c r="G21" s="37" t="n"/>
      <c r="H21" s="38" t="n"/>
      <c r="I21" s="38" t="n"/>
      <c r="J21" s="37" t="n"/>
      <c r="K21" s="37" t="n"/>
      <c r="L21" s="37" t="n"/>
      <c r="M21" s="37" t="n"/>
    </row>
    <row r="22">
      <c r="A22" s="10" t="inlineStr">
        <is>
          <t>fundacao</t>
        </is>
      </c>
      <c r="B22" s="18" t="n">
        <v>4</v>
      </c>
      <c r="C22" s="10" t="inlineStr">
        <is>
          <t>Concreteiras locais (usinas de Manaus)</t>
        </is>
      </c>
      <c r="D22" s="36" t="inlineStr">
        <is>
          <t>Manaus/AM</t>
        </is>
      </c>
      <c r="E22" s="11" t="inlineStr">
        <is>
          <t>concreto usinado fck 30 com bombeamento</t>
        </is>
      </c>
      <c r="F22" s="37" t="n"/>
      <c r="G22" s="37" t="n"/>
      <c r="H22" s="38" t="n"/>
      <c r="I22" s="38" t="n"/>
      <c r="J22" s="37" t="n"/>
      <c r="K22" s="37" t="n"/>
      <c r="L22" s="37" t="n"/>
      <c r="M22" s="37" t="n"/>
    </row>
    <row r="23">
      <c r="A23" s="10" t="inlineStr">
        <is>
          <t>fundacao</t>
        </is>
      </c>
      <c r="B23" s="18" t="n">
        <v>5</v>
      </c>
      <c r="C23" s="10" t="inlineStr">
        <is>
          <t>Gerdau / ArcelorMittal</t>
        </is>
      </c>
      <c r="D23" s="10" t="inlineStr">
        <is>
          <t>Nacional</t>
        </is>
      </c>
      <c r="E23" s="11" t="inlineStr">
        <is>
          <t>aco CA-50 e tela soldada</t>
        </is>
      </c>
      <c r="F23" s="37" t="n"/>
      <c r="G23" s="37" t="n"/>
      <c r="H23" s="38" t="n"/>
      <c r="I23" s="38" t="n"/>
      <c r="J23" s="37" t="n"/>
      <c r="K23" s="37" t="n"/>
      <c r="L23" s="37" t="n"/>
      <c r="M23" s="37" t="n"/>
    </row>
    <row r="24">
      <c r="A24" s="9" t="inlineStr">
        <is>
          <t>estrutura</t>
        </is>
      </c>
      <c r="B24" s="18" t="n">
        <v>1</v>
      </c>
      <c r="C24" s="10" t="inlineStr">
        <is>
          <t>Tecnoframe</t>
        </is>
      </c>
      <c r="D24" s="36" t="inlineStr">
        <is>
          <t>Manaus/AM</t>
        </is>
      </c>
      <c r="E24" s="11" t="inlineStr">
        <is>
          <t>perfis LSF, fabricante com atuacao local</t>
        </is>
      </c>
      <c r="F24" s="37" t="n"/>
      <c r="G24" s="37" t="n"/>
      <c r="H24" s="38" t="n"/>
      <c r="I24" s="38" t="n"/>
      <c r="J24" s="37" t="n"/>
      <c r="K24" s="37" t="n"/>
      <c r="L24" s="37" t="n"/>
      <c r="M24" s="37" t="n"/>
    </row>
    <row r="25">
      <c r="A25" s="10" t="inlineStr">
        <is>
          <t>estrutura</t>
        </is>
      </c>
      <c r="B25" s="18" t="n">
        <v>2</v>
      </c>
      <c r="C25" s="10" t="inlineStr">
        <is>
          <t>Barbieri do Brasil</t>
        </is>
      </c>
      <c r="D25" s="10" t="inlineStr">
        <is>
          <t>Nacional</t>
        </is>
      </c>
      <c r="E25" s="11" t="inlineStr">
        <is>
          <t>perfis galvanizados LSF e drywall</t>
        </is>
      </c>
      <c r="F25" s="37" t="n"/>
      <c r="G25" s="37" t="n"/>
      <c r="H25" s="38" t="n"/>
      <c r="I25" s="38" t="n"/>
      <c r="J25" s="37" t="n"/>
      <c r="K25" s="37" t="n"/>
      <c r="L25" s="37" t="n"/>
      <c r="M25" s="37" t="n"/>
    </row>
    <row r="26">
      <c r="A26" s="10" t="inlineStr">
        <is>
          <t>estrutura</t>
        </is>
      </c>
      <c r="B26" s="18" t="n">
        <v>3</v>
      </c>
      <c r="C26" s="10" t="inlineStr">
        <is>
          <t>Multiperfil</t>
        </is>
      </c>
      <c r="D26" s="10" t="inlineStr">
        <is>
          <t>Nacional</t>
        </is>
      </c>
      <c r="E26" s="11" t="inlineStr">
        <is>
          <t>perfis LSF, venda por distribuidor</t>
        </is>
      </c>
      <c r="F26" s="37" t="n"/>
      <c r="G26" s="37" t="n"/>
      <c r="H26" s="38" t="n"/>
      <c r="I26" s="38" t="n"/>
      <c r="J26" s="37" t="n"/>
      <c r="K26" s="37" t="n"/>
      <c r="L26" s="37" t="n"/>
      <c r="M26" s="37" t="n"/>
    </row>
    <row r="27">
      <c r="A27" s="10" t="inlineStr">
        <is>
          <t>estrutura</t>
        </is>
      </c>
      <c r="B27" s="18" t="n">
        <v>4</v>
      </c>
      <c r="C27" s="10" t="inlineStr">
        <is>
          <t>Deville Kerr</t>
        </is>
      </c>
      <c r="D27" s="10" t="inlineStr">
        <is>
          <t>Nacional</t>
        </is>
      </c>
      <c r="E27" s="11" t="inlineStr">
        <is>
          <t>perfis LSF direto de fabrica</t>
        </is>
      </c>
      <c r="F27" s="37" t="n"/>
      <c r="G27" s="37" t="n"/>
      <c r="H27" s="38" t="n"/>
      <c r="I27" s="38" t="n"/>
      <c r="J27" s="37" t="n"/>
      <c r="K27" s="37" t="n"/>
      <c r="L27" s="37" t="n"/>
      <c r="M27" s="37" t="n"/>
    </row>
    <row r="28">
      <c r="A28" s="10" t="inlineStr">
        <is>
          <t>estrutura</t>
        </is>
      </c>
      <c r="B28" s="18" t="n">
        <v>5</v>
      </c>
      <c r="C28" s="10" t="inlineStr">
        <is>
          <t>Alge Steel / Alge Metalurgica</t>
        </is>
      </c>
      <c r="D28" s="10" t="inlineStr">
        <is>
          <t>Nacional</t>
        </is>
      </c>
      <c r="E28" s="11" t="inlineStr">
        <is>
          <t>perfis steel frame</t>
        </is>
      </c>
      <c r="F28" s="37" t="n"/>
      <c r="G28" s="37" t="n"/>
      <c r="H28" s="38" t="n"/>
      <c r="I28" s="38" t="n"/>
      <c r="J28" s="37" t="n"/>
      <c r="K28" s="37" t="n"/>
      <c r="L28" s="37" t="n"/>
      <c r="M28" s="37" t="n"/>
    </row>
    <row r="29">
      <c r="A29" s="10" t="inlineStr">
        <is>
          <t>estrutura</t>
        </is>
      </c>
      <c r="B29" s="18" t="n">
        <v>6</v>
      </c>
      <c r="C29" s="10" t="inlineStr">
        <is>
          <t>MPS Steel</t>
        </is>
      </c>
      <c r="D29" s="10" t="inlineStr">
        <is>
          <t>Nacional</t>
        </is>
      </c>
      <c r="E29" s="11" t="inlineStr">
        <is>
          <t>fabricacao e fornecimento de perfis</t>
        </is>
      </c>
      <c r="F29" s="37" t="n"/>
      <c r="G29" s="37" t="n"/>
      <c r="H29" s="38" t="n"/>
      <c r="I29" s="38" t="n"/>
      <c r="J29" s="37" t="n"/>
      <c r="K29" s="37" t="n"/>
      <c r="L29" s="37" t="n"/>
      <c r="M29" s="37" t="n"/>
    </row>
    <row r="30">
      <c r="A30" s="9" t="inlineStr">
        <is>
          <t>instalacao</t>
        </is>
      </c>
      <c r="B30" s="18" t="n">
        <v>1</v>
      </c>
      <c r="C30" s="10" t="inlineStr">
        <is>
          <t>Du Norte Comercio</t>
        </is>
      </c>
      <c r="D30" s="36" t="inlineStr">
        <is>
          <t>Manaus/AM</t>
        </is>
      </c>
      <c r="E30" s="11" t="inlineStr">
        <is>
          <t>tubo, conexao e eletroduto</t>
        </is>
      </c>
      <c r="F30" s="37" t="n"/>
      <c r="G30" s="37" t="n"/>
      <c r="H30" s="38" t="n"/>
      <c r="I30" s="38" t="n"/>
      <c r="J30" s="37" t="n"/>
      <c r="K30" s="37" t="n"/>
      <c r="L30" s="37" t="n"/>
      <c r="M30" s="37" t="n"/>
    </row>
    <row r="31">
      <c r="A31" s="10" t="inlineStr">
        <is>
          <t>instalacao</t>
        </is>
      </c>
      <c r="B31" s="18" t="n">
        <v>2</v>
      </c>
      <c r="C31" s="10" t="inlineStr">
        <is>
          <t>Tigre</t>
        </is>
      </c>
      <c r="D31" s="10" t="inlineStr">
        <is>
          <t>Nacional</t>
        </is>
      </c>
      <c r="E31" s="11" t="inlineStr">
        <is>
          <t>tubos e conexoes PVC</t>
        </is>
      </c>
      <c r="F31" s="37" t="n"/>
      <c r="G31" s="37" t="n"/>
      <c r="H31" s="38" t="n"/>
      <c r="I31" s="38" t="n"/>
      <c r="J31" s="37" t="n"/>
      <c r="K31" s="37" t="n"/>
      <c r="L31" s="37" t="n"/>
      <c r="M31" s="37" t="n"/>
    </row>
    <row r="32">
      <c r="A32" s="10" t="inlineStr">
        <is>
          <t>instalacao</t>
        </is>
      </c>
      <c r="B32" s="18" t="n">
        <v>3</v>
      </c>
      <c r="C32" s="10" t="inlineStr">
        <is>
          <t>Amanco / Wavin</t>
        </is>
      </c>
      <c r="D32" s="10" t="inlineStr">
        <is>
          <t>Nacional</t>
        </is>
      </c>
      <c r="E32" s="11" t="inlineStr">
        <is>
          <t>tubos e conexoes</t>
        </is>
      </c>
      <c r="F32" s="37" t="n"/>
      <c r="G32" s="37" t="n"/>
      <c r="H32" s="38" t="n"/>
      <c r="I32" s="38" t="n"/>
      <c r="J32" s="37" t="n"/>
      <c r="K32" s="37" t="n"/>
      <c r="L32" s="37" t="n"/>
      <c r="M32" s="37" t="n"/>
    </row>
    <row r="33">
      <c r="A33" s="10" t="inlineStr">
        <is>
          <t>instalacao</t>
        </is>
      </c>
      <c r="B33" s="18" t="n">
        <v>4</v>
      </c>
      <c r="C33" s="10" t="inlineStr">
        <is>
          <t>Prysmian / Cobrecom / Sil</t>
        </is>
      </c>
      <c r="D33" s="10" t="inlineStr">
        <is>
          <t>Nacional</t>
        </is>
      </c>
      <c r="E33" s="11" t="inlineStr">
        <is>
          <t>cabo de cobre</t>
        </is>
      </c>
      <c r="F33" s="37" t="n"/>
      <c r="G33" s="37" t="n"/>
      <c r="H33" s="38" t="n"/>
      <c r="I33" s="38" t="n"/>
      <c r="J33" s="37" t="n"/>
      <c r="K33" s="37" t="n"/>
      <c r="L33" s="37" t="n"/>
      <c r="M33" s="37" t="n"/>
    </row>
    <row r="34">
      <c r="A34" s="10" t="inlineStr">
        <is>
          <t>instalacao</t>
        </is>
      </c>
      <c r="B34" s="18" t="n">
        <v>5</v>
      </c>
      <c r="C34" s="10" t="inlineStr">
        <is>
          <t>Schneider / Siemens / Steck</t>
        </is>
      </c>
      <c r="D34" s="10" t="inlineStr">
        <is>
          <t>Nacional</t>
        </is>
      </c>
      <c r="E34" s="11" t="inlineStr">
        <is>
          <t>disjuntor e quadro</t>
        </is>
      </c>
      <c r="F34" s="37" t="n"/>
      <c r="G34" s="37" t="n"/>
      <c r="H34" s="38" t="n"/>
      <c r="I34" s="38" t="n"/>
      <c r="J34" s="37" t="n"/>
      <c r="K34" s="37" t="n"/>
      <c r="L34" s="37" t="n"/>
      <c r="M34" s="37" t="n"/>
    </row>
    <row r="35">
      <c r="A35" s="9" t="inlineStr">
        <is>
          <t>servico</t>
        </is>
      </c>
      <c r="B35" s="18" t="n">
        <v>1</v>
      </c>
      <c r="C35" s="10" t="inlineStr">
        <is>
          <t>Tecnoframe</t>
        </is>
      </c>
      <c r="D35" s="36" t="inlineStr">
        <is>
          <t>Manaus/AM</t>
        </is>
      </c>
      <c r="E35" s="11" t="inlineStr">
        <is>
          <t>fornecimento com montagem, praca local</t>
        </is>
      </c>
      <c r="F35" s="37" t="n"/>
      <c r="G35" s="37" t="n"/>
      <c r="H35" s="38" t="n"/>
      <c r="I35" s="38" t="n"/>
      <c r="J35" s="37" t="n"/>
      <c r="K35" s="37" t="n"/>
      <c r="L35" s="37" t="n"/>
      <c r="M35" s="37" t="n"/>
    </row>
    <row r="36">
      <c r="A36" s="10" t="inlineStr">
        <is>
          <t>servico</t>
        </is>
      </c>
      <c r="B36" s="18" t="n">
        <v>2</v>
      </c>
      <c r="C36" s="10" t="inlineStr">
        <is>
          <t>Barbieri do Brasil</t>
        </is>
      </c>
      <c r="D36" s="10" t="inlineStr">
        <is>
          <t>Nacional</t>
        </is>
      </c>
      <c r="E36" s="11" t="inlineStr">
        <is>
          <t>fornecimento; montagem por rede credenciada</t>
        </is>
      </c>
      <c r="F36" s="37" t="n"/>
      <c r="G36" s="37" t="n"/>
      <c r="H36" s="38" t="n"/>
      <c r="I36" s="38" t="n"/>
      <c r="J36" s="37" t="n"/>
      <c r="K36" s="37" t="n"/>
      <c r="L36" s="37" t="n"/>
      <c r="M36" s="37" t="n"/>
    </row>
    <row r="37">
      <c r="A37" s="10" t="inlineStr">
        <is>
          <t>servico</t>
        </is>
      </c>
      <c r="B37" s="18" t="n">
        <v>3</v>
      </c>
      <c r="C37" s="10" t="inlineStr">
        <is>
          <t>Naframe</t>
        </is>
      </c>
      <c r="D37" s="10" t="inlineStr">
        <is>
          <t>Nacional</t>
        </is>
      </c>
      <c r="E37" s="11" t="inlineStr">
        <is>
          <t>projeto, fornecimento e montagem</t>
        </is>
      </c>
      <c r="F37" s="37" t="n"/>
      <c r="G37" s="37" t="n"/>
      <c r="H37" s="38" t="n"/>
      <c r="I37" s="38" t="n"/>
      <c r="J37" s="37" t="n"/>
      <c r="K37" s="37" t="n"/>
      <c r="L37" s="37" t="n"/>
      <c r="M37" s="37" t="n"/>
    </row>
    <row r="38">
      <c r="A38" s="10" t="inlineStr">
        <is>
          <t>servico</t>
        </is>
      </c>
      <c r="B38" s="18" t="n">
        <v>4</v>
      </c>
      <c r="C38" s="10" t="inlineStr">
        <is>
          <t>MPS Steel</t>
        </is>
      </c>
      <c r="D38" s="10" t="inlineStr">
        <is>
          <t>Nacional</t>
        </is>
      </c>
      <c r="E38" s="11" t="inlineStr">
        <is>
          <t>fornecimento e montagem</t>
        </is>
      </c>
      <c r="F38" s="37" t="n"/>
      <c r="G38" s="37" t="n"/>
      <c r="H38" s="38" t="n"/>
      <c r="I38" s="38" t="n"/>
      <c r="J38" s="37" t="n"/>
      <c r="K38" s="37" t="n"/>
      <c r="L38" s="37" t="n"/>
      <c r="M38" s="37" t="n"/>
    </row>
    <row r="39">
      <c r="A39" s="10" t="inlineStr">
        <is>
          <t>servico</t>
        </is>
      </c>
      <c r="B39" s="18" t="n">
        <v>5</v>
      </c>
      <c r="C39" s="10" t="inlineStr">
        <is>
          <t>Alge Steel</t>
        </is>
      </c>
      <c r="D39" s="10" t="inlineStr">
        <is>
          <t>Nacional</t>
        </is>
      </c>
      <c r="E39" s="11" t="inlineStr">
        <is>
          <t>fornecimento; montagem por parceiro</t>
        </is>
      </c>
      <c r="F39" s="37" t="n"/>
      <c r="G39" s="37" t="n"/>
      <c r="H39" s="38" t="n"/>
      <c r="I39" s="38" t="n"/>
      <c r="J39" s="37" t="n"/>
      <c r="K39" s="37" t="n"/>
      <c r="L39" s="37" t="n"/>
      <c r="M39" s="37" t="n"/>
    </row>
    <row r="40">
      <c r="A40" s="9" t="inlineStr">
        <is>
          <t>cobertura</t>
        </is>
      </c>
      <c r="B40" s="18" t="n">
        <v>1</v>
      </c>
      <c r="C40" s="10" t="inlineStr">
        <is>
          <t>Kingspan Isoeste</t>
        </is>
      </c>
      <c r="D40" s="10" t="inlineStr">
        <is>
          <t>Nacional</t>
        </is>
      </c>
      <c r="E40" s="11" t="inlineStr">
        <is>
          <t>painel e telha PIR, fabricante</t>
        </is>
      </c>
      <c r="F40" s="37" t="n"/>
      <c r="G40" s="37" t="n"/>
      <c r="H40" s="38" t="n"/>
      <c r="I40" s="38" t="n"/>
      <c r="J40" s="37" t="n"/>
      <c r="K40" s="37" t="n"/>
      <c r="L40" s="37" t="n"/>
      <c r="M40" s="37" t="n"/>
    </row>
    <row r="41">
      <c r="A41" s="10" t="inlineStr">
        <is>
          <t>cobertura</t>
        </is>
      </c>
      <c r="B41" s="18" t="n">
        <v>2</v>
      </c>
      <c r="C41" s="10" t="inlineStr">
        <is>
          <t>Regional Telhas</t>
        </is>
      </c>
      <c r="D41" s="10" t="inlineStr">
        <is>
          <t>Nacional</t>
        </is>
      </c>
      <c r="E41" s="11" t="inlineStr">
        <is>
          <t>termoacustica RT PIR</t>
        </is>
      </c>
      <c r="F41" s="37" t="n"/>
      <c r="G41" s="37" t="n"/>
      <c r="H41" s="38" t="n"/>
      <c r="I41" s="38" t="n"/>
      <c r="J41" s="37" t="n"/>
      <c r="K41" s="37" t="n"/>
      <c r="L41" s="37" t="n"/>
      <c r="M41" s="37" t="n"/>
    </row>
    <row r="42">
      <c r="A42" s="10" t="inlineStr">
        <is>
          <t>cobertura</t>
        </is>
      </c>
      <c r="B42" s="18" t="n">
        <v>3</v>
      </c>
      <c r="C42" s="10" t="inlineStr">
        <is>
          <t>ThermoValle</t>
        </is>
      </c>
      <c r="D42" s="10" t="inlineStr">
        <is>
          <t>Nacional</t>
        </is>
      </c>
      <c r="E42" s="11" t="inlineStr">
        <is>
          <t>telha termoacustica</t>
        </is>
      </c>
      <c r="F42" s="37" t="n"/>
      <c r="G42" s="37" t="n"/>
      <c r="H42" s="38" t="n"/>
      <c r="I42" s="38" t="n"/>
      <c r="J42" s="37" t="n"/>
      <c r="K42" s="37" t="n"/>
      <c r="L42" s="37" t="n"/>
      <c r="M42" s="37" t="n"/>
    </row>
    <row r="43">
      <c r="A43" s="10" t="inlineStr">
        <is>
          <t>cobertura</t>
        </is>
      </c>
      <c r="B43" s="18" t="n">
        <v>4</v>
      </c>
      <c r="C43" s="10" t="inlineStr">
        <is>
          <t>Gravia</t>
        </is>
      </c>
      <c r="D43" s="10" t="inlineStr">
        <is>
          <t>Nacional</t>
        </is>
      </c>
      <c r="E43" s="11" t="inlineStr">
        <is>
          <t>telha termica com nucleo PIR</t>
        </is>
      </c>
      <c r="F43" s="37" t="n"/>
      <c r="G43" s="37" t="n"/>
      <c r="H43" s="38" t="n"/>
      <c r="I43" s="38" t="n"/>
      <c r="J43" s="37" t="n"/>
      <c r="K43" s="37" t="n"/>
      <c r="L43" s="37" t="n"/>
      <c r="M43" s="37" t="n"/>
    </row>
    <row r="44">
      <c r="A44" s="10" t="inlineStr">
        <is>
          <t>cobertura</t>
        </is>
      </c>
      <c r="B44" s="18" t="n">
        <v>5</v>
      </c>
      <c r="C44" s="10" t="inlineStr">
        <is>
          <t>Coberminas</t>
        </is>
      </c>
      <c r="D44" s="10" t="inlineStr">
        <is>
          <t>Nacional</t>
        </is>
      </c>
      <c r="E44" s="11" t="inlineStr">
        <is>
          <t>telhas termoacusticas</t>
        </is>
      </c>
      <c r="F44" s="37" t="n"/>
      <c r="G44" s="37" t="n"/>
      <c r="H44" s="38" t="n"/>
      <c r="I44" s="38" t="n"/>
      <c r="J44" s="37" t="n"/>
      <c r="K44" s="37" t="n"/>
      <c r="L44" s="37" t="n"/>
      <c r="M44" s="37" t="n"/>
    </row>
    <row r="45">
      <c r="A45" s="9" t="inlineStr">
        <is>
          <t>fachada</t>
        </is>
      </c>
      <c r="B45" s="18" t="n">
        <v>1</v>
      </c>
      <c r="C45" s="10" t="inlineStr">
        <is>
          <t>Metalurgica Aluminova</t>
        </is>
      </c>
      <c r="D45" s="36" t="inlineStr">
        <is>
          <t>Manaus/AM</t>
        </is>
      </c>
      <c r="E45" s="11" t="inlineStr">
        <is>
          <t>ripado e brise em aluminio</t>
        </is>
      </c>
      <c r="F45" s="37" t="n"/>
      <c r="G45" s="37" t="n"/>
      <c r="H45" s="38" t="n"/>
      <c r="I45" s="38" t="n"/>
      <c r="J45" s="37" t="n"/>
      <c r="K45" s="37" t="n"/>
      <c r="L45" s="37" t="n"/>
      <c r="M45" s="37" t="n"/>
    </row>
    <row r="46">
      <c r="A46" s="10" t="inlineStr">
        <is>
          <t>fachada</t>
        </is>
      </c>
      <c r="B46" s="18" t="n">
        <v>2</v>
      </c>
      <c r="C46" s="10" t="inlineStr">
        <is>
          <t>Alubrasil / Hydro</t>
        </is>
      </c>
      <c r="D46" s="10" t="inlineStr">
        <is>
          <t>Nacional</t>
        </is>
      </c>
      <c r="E46" s="11" t="inlineStr">
        <is>
          <t>perfil de aluminio extrudado</t>
        </is>
      </c>
      <c r="F46" s="37" t="n"/>
      <c r="G46" s="37" t="n"/>
      <c r="H46" s="38" t="n"/>
      <c r="I46" s="38" t="n"/>
      <c r="J46" s="37" t="n"/>
      <c r="K46" s="37" t="n"/>
      <c r="L46" s="37" t="n"/>
      <c r="M46" s="37" t="n"/>
    </row>
    <row r="47">
      <c r="A47" s="10" t="inlineStr">
        <is>
          <t>fachada</t>
        </is>
      </c>
      <c r="B47" s="18" t="n">
        <v>3</v>
      </c>
      <c r="C47" s="10" t="inlineStr">
        <is>
          <t>Fabricantes de brise movel</t>
        </is>
      </c>
      <c r="D47" s="10" t="inlineStr">
        <is>
          <t>Nacional</t>
        </is>
      </c>
      <c r="E47" s="11" t="inlineStr">
        <is>
          <t>mecanismo e guia</t>
        </is>
      </c>
      <c r="F47" s="37" t="n"/>
      <c r="G47" s="37" t="n"/>
      <c r="H47" s="38" t="n"/>
      <c r="I47" s="38" t="n"/>
      <c r="J47" s="37" t="n"/>
      <c r="K47" s="37" t="n"/>
      <c r="L47" s="37" t="n"/>
      <c r="M47" s="37" t="n"/>
    </row>
    <row r="48">
      <c r="A48" s="10" t="inlineStr">
        <is>
          <t>fachada</t>
        </is>
      </c>
      <c r="B48" s="18" t="n">
        <v>4</v>
      </c>
      <c r="C48" s="10" t="inlineStr">
        <is>
          <t>Serralherias de Manaus</t>
        </is>
      </c>
      <c r="D48" s="36" t="inlineStr">
        <is>
          <t>Manaus/AM</t>
        </is>
      </c>
      <c r="E48" s="11" t="inlineStr">
        <is>
          <t>montagem e fixacao</t>
        </is>
      </c>
      <c r="F48" s="37" t="n"/>
      <c r="G48" s="37" t="n"/>
      <c r="H48" s="38" t="n"/>
      <c r="I48" s="38" t="n"/>
      <c r="J48" s="37" t="n"/>
      <c r="K48" s="37" t="n"/>
      <c r="L48" s="37" t="n"/>
      <c r="M48" s="37" t="n"/>
    </row>
    <row r="49">
      <c r="A49" s="10" t="inlineStr">
        <is>
          <t>fachada</t>
        </is>
      </c>
      <c r="B49" s="18" t="n">
        <v>5</v>
      </c>
      <c r="C49" s="10" t="inlineStr">
        <is>
          <t>Esquadrias Alufynestra</t>
        </is>
      </c>
      <c r="D49" s="36" t="inlineStr">
        <is>
          <t>Manaus/AM</t>
        </is>
      </c>
      <c r="E49" s="11" t="inlineStr">
        <is>
          <t>perfis e acabamento</t>
        </is>
      </c>
      <c r="F49" s="37" t="n"/>
      <c r="G49" s="37" t="n"/>
      <c r="H49" s="38" t="n"/>
      <c r="I49" s="38" t="n"/>
      <c r="J49" s="37" t="n"/>
      <c r="K49" s="37" t="n"/>
      <c r="L49" s="37" t="n"/>
      <c r="M49" s="37" t="n"/>
    </row>
    <row r="50">
      <c r="A50" s="9" t="inlineStr">
        <is>
          <t>ligacao</t>
        </is>
      </c>
      <c r="B50" s="18" t="n">
        <v>1</v>
      </c>
      <c r="C50" s="10" t="inlineStr">
        <is>
          <t>Ciser</t>
        </is>
      </c>
      <c r="D50" s="10" t="inlineStr">
        <is>
          <t>Nacional</t>
        </is>
      </c>
      <c r="E50" s="11" t="inlineStr">
        <is>
          <t>parafuso auto-brocante</t>
        </is>
      </c>
      <c r="F50" s="37" t="n"/>
      <c r="G50" s="37" t="n"/>
      <c r="H50" s="38" t="n"/>
      <c r="I50" s="38" t="n"/>
      <c r="J50" s="37" t="n"/>
      <c r="K50" s="37" t="n"/>
      <c r="L50" s="37" t="n"/>
      <c r="M50" s="37" t="n"/>
    </row>
    <row r="51">
      <c r="A51" s="10" t="inlineStr">
        <is>
          <t>ligacao</t>
        </is>
      </c>
      <c r="B51" s="18" t="n">
        <v>2</v>
      </c>
      <c r="C51" s="10" t="inlineStr">
        <is>
          <t>Sumaq / Starfix</t>
        </is>
      </c>
      <c r="D51" s="10" t="inlineStr">
        <is>
          <t>Nacional</t>
        </is>
      </c>
      <c r="E51" s="11" t="inlineStr">
        <is>
          <t>fixacao para steel frame</t>
        </is>
      </c>
      <c r="F51" s="37" t="n"/>
      <c r="G51" s="37" t="n"/>
      <c r="H51" s="38" t="n"/>
      <c r="I51" s="38" t="n"/>
      <c r="J51" s="37" t="n"/>
      <c r="K51" s="37" t="n"/>
      <c r="L51" s="37" t="n"/>
      <c r="M51" s="37" t="n"/>
    </row>
    <row r="52">
      <c r="A52" s="10" t="inlineStr">
        <is>
          <t>ligacao</t>
        </is>
      </c>
      <c r="B52" s="18" t="n">
        <v>3</v>
      </c>
      <c r="C52" s="10" t="inlineStr">
        <is>
          <t>Du Norte Comercio</t>
        </is>
      </c>
      <c r="D52" s="36" t="inlineStr">
        <is>
          <t>Manaus/AM</t>
        </is>
      </c>
      <c r="E52" s="11" t="inlineStr">
        <is>
          <t>ferragem e fixacao</t>
        </is>
      </c>
      <c r="F52" s="37" t="n"/>
      <c r="G52" s="37" t="n"/>
      <c r="H52" s="38" t="n"/>
      <c r="I52" s="38" t="n"/>
      <c r="J52" s="37" t="n"/>
      <c r="K52" s="37" t="n"/>
      <c r="L52" s="37" t="n"/>
      <c r="M52" s="37" t="n"/>
    </row>
    <row r="53">
      <c r="A53" s="10" t="inlineStr">
        <is>
          <t>ligacao</t>
        </is>
      </c>
      <c r="B53" s="18" t="n">
        <v>4</v>
      </c>
      <c r="C53" s="10" t="inlineStr">
        <is>
          <t>Obramax</t>
        </is>
      </c>
      <c r="D53" s="10" t="inlineStr">
        <is>
          <t>Nacional</t>
        </is>
      </c>
      <c r="E53" s="11" t="inlineStr">
        <is>
          <t>distribuidor</t>
        </is>
      </c>
      <c r="F53" s="37" t="n"/>
      <c r="G53" s="37" t="n"/>
      <c r="H53" s="38" t="n"/>
      <c r="I53" s="38" t="n"/>
      <c r="J53" s="37" t="n"/>
      <c r="K53" s="37" t="n"/>
      <c r="L53" s="37" t="n"/>
      <c r="M53" s="37" t="n"/>
    </row>
    <row r="54">
      <c r="A54" s="10" t="inlineStr">
        <is>
          <t>ligacao</t>
        </is>
      </c>
      <c r="B54" s="18" t="n">
        <v>5</v>
      </c>
      <c r="C54" s="10" t="inlineStr">
        <is>
          <t>Distribuidores locais de ferragem</t>
        </is>
      </c>
      <c r="D54" s="36" t="inlineStr">
        <is>
          <t>Manaus/AM</t>
        </is>
      </c>
      <c r="E54" s="11" t="inlineStr">
        <is>
          <t>reposicao de obra</t>
        </is>
      </c>
      <c r="F54" s="37" t="n"/>
      <c r="G54" s="37" t="n"/>
      <c r="H54" s="38" t="n"/>
      <c r="I54" s="38" t="n"/>
      <c r="J54" s="37" t="n"/>
      <c r="K54" s="37" t="n"/>
      <c r="L54" s="37" t="n"/>
      <c r="M54" s="37" t="n"/>
    </row>
    <row r="56">
      <c r="A56" s="4" t="inlineStr">
        <is>
          <t>Sem fabricante na praça de Manaus:</t>
        </is>
      </c>
      <c r="C56" s="2" t="inlineStr">
        <is>
          <t>cobertura — nao ha fabricante de painel PIR em Manaus; a cotacao tem de ser pedida CIF Manaus, com o frete DENTRO do preco e nao como surpresa na entrega</t>
        </is>
      </c>
    </row>
  </sheetData>
  <dataValidations count="1">
    <dataValidation sqref="K4:K54" showDropDown="0" showInputMessage="0" showErrorMessage="0" allowBlank="1" type="list">
      <formula1>"sim,não,parcial"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2" customWidth="1" min="3" max="3"/>
    <col width="10" customWidth="1" min="4" max="4"/>
    <col width="14" customWidth="1" min="5" max="5"/>
    <col width="30" customWidth="1" min="6" max="6"/>
    <col width="78" customWidth="1" min="7" max="7"/>
  </cols>
  <sheetData>
    <row r="1">
      <c r="A1" s="1" t="inlineStr">
        <is>
          <t>REFERÊNCIAS PÚBLICAS — a conferência de cima para baixo</t>
        </is>
      </c>
    </row>
    <row r="2">
      <c r="A2" s="2" t="inlineStr">
        <is>
          <t>Cinco propostas dizem se o preço de cada item está bom. O índice diz se o orçamento INTEIRO está no lugar certo — e é o erro de orçamento inteiro, não o de item, que quebra obra.</t>
        </is>
      </c>
    </row>
    <row r="4">
      <c r="A4" s="26" t="inlineStr">
        <is>
          <t>ÍNDICE</t>
        </is>
      </c>
      <c r="B4" s="26" t="inlineStr">
        <is>
          <t>VALOR</t>
        </is>
      </c>
      <c r="C4" s="26" t="inlineStr">
        <is>
          <t>UNIDADE</t>
        </is>
      </c>
      <c r="D4" s="26" t="inlineStr">
        <is>
          <t>DATA</t>
        </is>
      </c>
      <c r="E4" s="26" t="inlineStr">
        <is>
          <t>PRAÇA</t>
        </is>
      </c>
      <c r="F4" s="26" t="inlineStr">
        <is>
          <t>FONTE</t>
        </is>
      </c>
      <c r="G4" s="26" t="inlineStr">
        <is>
          <t>ESCOPO (o que está dentro e o que não está)</t>
        </is>
      </c>
    </row>
    <row r="5">
      <c r="A5" s="9" t="inlineStr">
        <is>
          <t>CUB Amazonas, custo medio IBGE/SINAPI</t>
        </is>
      </c>
      <c r="B5" s="16" t="n">
        <v>1942.1</v>
      </c>
      <c r="C5" s="10" t="inlineStr">
        <is>
          <t>R$/m2</t>
        </is>
      </c>
      <c r="D5" s="18" t="inlineStr">
        <is>
          <t>2026-06</t>
        </is>
      </c>
      <c r="E5" s="10" t="inlineStr">
        <is>
          <t>Amazonas</t>
        </is>
      </c>
      <c r="F5" s="11" t="inlineStr">
        <is>
          <t>Sinduscon-AM / compiladores de CUB</t>
        </is>
      </c>
      <c r="G5" s="11" t="inlineStr">
        <is>
          <t>materiais, mao de obra e despesas administrativas do projeto padrao; NAO inclui fundacao especial, area externa, piscina, muro, elevador, projeto nem BDI</t>
        </is>
      </c>
    </row>
    <row r="6">
      <c r="A6" s="9" t="inlineStr">
        <is>
          <t>CUB Amazonas R8-N (residencial normal)</t>
        </is>
      </c>
      <c r="B6" s="16" t="n">
        <v>2460</v>
      </c>
      <c r="C6" s="10" t="inlineStr">
        <is>
          <t>R$/m2</t>
        </is>
      </c>
      <c r="D6" s="18" t="inlineStr">
        <is>
          <t>2026</t>
        </is>
      </c>
      <c r="E6" s="10" t="inlineStr">
        <is>
          <t>Amazonas</t>
        </is>
      </c>
      <c r="F6" s="11" t="inlineStr">
        <is>
          <t>Sinduscon-AM</t>
        </is>
      </c>
      <c r="G6" s="11" t="inlineStr">
        <is>
          <t>idem CUB, padrao normal de acabamento</t>
        </is>
      </c>
    </row>
    <row r="7">
      <c r="A7" s="9" t="inlineStr">
        <is>
          <t>Indice Steel Frame, padrao popular</t>
        </is>
      </c>
      <c r="B7" s="16" t="n">
        <v>3042.24</v>
      </c>
      <c r="C7" s="10" t="inlineStr">
        <is>
          <t>R$/m2</t>
        </is>
      </c>
      <c r="D7" s="18" t="inlineStr">
        <is>
          <t>2026-04</t>
        </is>
      </c>
      <c r="E7" s="10" t="inlineStr">
        <is>
          <t>Sudeste</t>
        </is>
      </c>
      <c r="F7" s="11" t="inlineStr">
        <is>
          <t>Indice Arquitecasa Steel Frame</t>
        </is>
      </c>
      <c r="G7" s="11" t="inlineStr">
        <is>
          <t>obra entregue (chave na mao), padrao popular</t>
        </is>
      </c>
    </row>
    <row r="8">
      <c r="A8" s="9" t="inlineStr">
        <is>
          <t>Indice Steel Frame, padrao medio</t>
        </is>
      </c>
      <c r="B8" s="16" t="n">
        <v>4543.63</v>
      </c>
      <c r="C8" s="10" t="inlineStr">
        <is>
          <t>R$/m2</t>
        </is>
      </c>
      <c r="D8" s="18" t="inlineStr">
        <is>
          <t>2026-04</t>
        </is>
      </c>
      <c r="E8" s="10" t="inlineStr">
        <is>
          <t>Sudeste</t>
        </is>
      </c>
      <c r="F8" s="11" t="inlineStr">
        <is>
          <t>Indice Arquitecasa Steel Frame</t>
        </is>
      </c>
      <c r="G8" s="11" t="inlineStr">
        <is>
          <t>obra entregue (chave na mao), padrao medio</t>
        </is>
      </c>
    </row>
    <row r="9">
      <c r="A9" s="9" t="inlineStr">
        <is>
          <t>Indice Steel Frame, padrao alto</t>
        </is>
      </c>
      <c r="B9" s="16" t="n">
        <v>6200.34</v>
      </c>
      <c r="C9" s="10" t="inlineStr">
        <is>
          <t>R$/m2</t>
        </is>
      </c>
      <c r="D9" s="18" t="inlineStr">
        <is>
          <t>2026-04</t>
        </is>
      </c>
      <c r="E9" s="10" t="inlineStr">
        <is>
          <t>Sudeste</t>
        </is>
      </c>
      <c r="F9" s="11" t="inlineStr">
        <is>
          <t>Indice Arquitecasa Steel Frame</t>
        </is>
      </c>
      <c r="G9" s="11" t="inlineStr">
        <is>
          <t>obra entregue (chave na mao), padrao alto</t>
        </is>
      </c>
    </row>
    <row r="11">
      <c r="A11" s="3" t="inlineStr">
        <is>
          <t>POSIÇÃO DESTE ORÇAMENTO</t>
        </is>
      </c>
    </row>
    <row r="12">
      <c r="A12" s="4" t="inlineStr">
        <is>
          <t>Obra entregue estimada por m² (da aba RESUMO)</t>
        </is>
      </c>
      <c r="B12" s="35">
        <f>RESUMO!C25</f>
        <v/>
      </c>
    </row>
    <row r="13">
      <c r="A13" s="4" t="inlineStr">
        <is>
          <t>Índice steel frame, padrão popular</t>
        </is>
      </c>
      <c r="B13" s="35" t="n">
        <v>3042.24</v>
      </c>
    </row>
    <row r="14">
      <c r="A14" s="4" t="inlineStr">
        <is>
          <t>Índice steel frame, padrão médio</t>
        </is>
      </c>
      <c r="B14" s="35" t="n">
        <v>4543.63</v>
      </c>
    </row>
    <row r="15">
      <c r="A15" s="4" t="inlineStr">
        <is>
          <t>CUB Amazonas R8-N</t>
        </is>
      </c>
      <c r="B15" s="35" t="n">
        <v>2460</v>
      </c>
    </row>
    <row r="16">
      <c r="A16" s="4" t="inlineStr">
        <is>
          <t>Posição contra o padrão popular</t>
        </is>
      </c>
      <c r="B16" s="39">
        <f>IF(B12=0,"",B12/B13-1)</f>
        <v/>
      </c>
    </row>
    <row r="17">
      <c r="A17" s="4" t="inlineStr">
        <is>
          <t>Fator de praça (frete para o Norte)</t>
        </is>
      </c>
      <c r="B17" s="40" t="n">
        <v>1.2</v>
      </c>
      <c r="D17" s="2" t="inlineStr">
        <is>
          <t>Se os preços vierem de tabela do Sudeste, o total erra por este fator. Peça CIF Manaus e ele deixa de existir.</t>
        </is>
      </c>
    </row>
    <row r="19">
      <c r="A19" s="2" t="inlineStr">
        <is>
          <t>LEITURA: o valor extrapolado TEM de ficar abaixo do índice de obra entregue, porque o escopo desta planilha é menor (ver aba FORA DO ESCOPO). Ficar ACIMA é sinal de erro — de quantidade, de preço ou de linha duplicada.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72" customWidth="1" min="2" max="2"/>
    <col width="52" customWidth="1" min="3" max="3"/>
    <col width="14" customWidth="1" min="4" max="4"/>
    <col width="60" customWidth="1" min="5" max="5"/>
  </cols>
  <sheetData>
    <row r="1">
      <c r="A1" s="1" t="inlineStr">
        <is>
          <t>O QUE NÃO ESTÁ NESTA PLANILHA</t>
        </is>
      </c>
    </row>
    <row r="2">
      <c r="A2" s="2" t="inlineStr">
        <is>
          <t>Esta planilha cobre os sistemas construtivos modelados. Orçamento erra mais por LINHA FALTANDO do que por preço alto — por isso a lista existe, e por isso ela é curta e explícita.</t>
        </is>
      </c>
    </row>
    <row r="4">
      <c r="A4" s="26" t="inlineStr">
        <is>
          <t>ESCOPO FORA</t>
        </is>
      </c>
      <c r="B4" s="26" t="inlineStr">
        <is>
          <t>SITUAÇÃO NO PROJETO</t>
        </is>
      </c>
      <c r="C4" s="26" t="inlineStr">
        <is>
          <t>ORÇAR SEPARADAMENTE COM</t>
        </is>
      </c>
    </row>
    <row r="5">
      <c r="A5" s="41" t="inlineStr">
        <is>
          <t>loucas e metais</t>
        </is>
      </c>
      <c r="B5" s="42" t="inlineStr">
        <is>
          <t>vaso, lavatorio, cuba, torneira, registro e chuveiro estao no modelo como GEOMETRIA e nao como compra</t>
        </is>
      </c>
      <c r="C5" s="42" t="inlineStr">
        <is>
          <t>loja de material / distribuidor de louças</t>
        </is>
      </c>
    </row>
    <row r="6">
      <c r="A6" s="41" t="inlineStr">
        <is>
          <t>equipamento de climatizacao</t>
        </is>
      </c>
      <c r="B6" s="42" t="inlineStr">
        <is>
          <t>as sete maquinas estao dimensionadas e locadas; o orcamento traz a linha frigorigena, nao o split</t>
        </is>
      </c>
      <c r="C6" s="42" t="inlineStr">
        <is>
          <t>instalador de ar-condicionado (7 máquinas dimensionadas em projeto)</t>
        </is>
      </c>
    </row>
    <row r="7">
      <c r="A7" s="41" t="inlineStr">
        <is>
          <t>pintura</t>
        </is>
      </c>
      <c r="B7" s="42" t="inlineStr">
        <is>
          <t>PINTURA esta especificada por ambiente desde a Etapa 4; o material e a mao de obra nao entraram em linha</t>
        </is>
      </c>
      <c r="C7" s="42" t="inlineStr">
        <is>
          <t>empreiteira de pintura — material e mão de obra</t>
        </is>
      </c>
    </row>
    <row r="8">
      <c r="A8" s="41" t="inlineStr">
        <is>
          <t>revestimento interno de piso e parede</t>
        </is>
      </c>
      <c r="B8" s="42" t="inlineStr">
        <is>
          <t>ACABAMENTOS define por ambiente; a compra nao foi quantificada</t>
        </is>
      </c>
      <c r="C8" s="42" t="inlineStr">
        <is>
          <t>loja de revestimento + assentador</t>
        </is>
      </c>
    </row>
    <row r="9">
      <c r="A9" s="41" t="inlineStr">
        <is>
          <t>marcenaria e armarios</t>
        </is>
      </c>
      <c r="B9" s="42" t="inlineStr">
        <is>
          <t>o mobiliario existe no modelo para conferir circulacao e tomada, nao para comprar</t>
        </is>
      </c>
      <c r="C9" s="42" t="inlineStr">
        <is>
          <t>marcenaria sob medida</t>
        </is>
      </c>
    </row>
    <row r="10">
      <c r="A10" s="41" t="inlineStr">
        <is>
          <t>mao de obra de instalacoes e acabamento</t>
        </is>
      </c>
      <c r="B10" s="42" t="inlineStr">
        <is>
          <t>so a montagem da estrutura esta orcada</t>
        </is>
      </c>
      <c r="C10" s="42" t="inlineStr">
        <is>
          <t>empreiteiro geral ou por frente</t>
        </is>
      </c>
    </row>
    <row r="11">
      <c r="A11" s="41" t="inlineStr">
        <is>
          <t>equipamento de piscina</t>
        </is>
      </c>
      <c r="B11" s="42" t="inlineStr">
        <is>
          <t>bomba, filtro e tratamento</t>
        </is>
      </c>
      <c r="C11" s="42" t="inlineStr">
        <is>
          <t>fornecedor de piscina (bomba, filtro, tratamento)</t>
        </is>
      </c>
    </row>
    <row r="12">
      <c r="A12" s="41" t="inlineStr">
        <is>
          <t>projetos complementares, ART e taxas</t>
        </is>
      </c>
      <c r="B12" s="42" t="inlineStr">
        <is>
          <t>inclui o projeto de fundacao que a pendencia 3 espera</t>
        </is>
      </c>
      <c r="C12" s="42" t="inlineStr">
        <is>
          <t>projetista estrutural com ART, prefeitura, concessionárias</t>
        </is>
      </c>
    </row>
    <row r="13">
      <c r="A13" s="41" t="inlineStr">
        <is>
          <t>BDI, administracao e canteiro</t>
        </is>
      </c>
      <c r="B13" s="42" t="inlineStr">
        <is>
          <t>nao ha composicao de BDI neste modelo</t>
        </is>
      </c>
      <c r="C13" s="42" t="inlineStr">
        <is>
          <t>construtora / administração da obra</t>
        </is>
      </c>
    </row>
    <row r="15">
      <c r="A15" s="3" t="inlineStr">
        <is>
          <t>PENDÊNCIAS DO PROJETO QUE AFETAM A COMPRA</t>
        </is>
      </c>
    </row>
    <row r="16">
      <c r="A16" s="26" t="inlineStr">
        <is>
          <t>Nº</t>
        </is>
      </c>
      <c r="B16" s="26" t="inlineStr">
        <is>
          <t>PENDÊNCIA</t>
        </is>
      </c>
      <c r="C16" s="26" t="inlineStr">
        <is>
          <t>NORMA / ORIGEM</t>
        </is>
      </c>
      <c r="D16" s="26" t="inlineStr">
        <is>
          <t>TRAVA</t>
        </is>
      </c>
      <c r="E16" s="26" t="inlineStr">
        <is>
          <t>SITUAÇÃO</t>
        </is>
      </c>
    </row>
    <row r="17">
      <c r="A17" s="18" t="inlineStr">
        <is>
          <t>1</t>
        </is>
      </c>
      <c r="B17" s="43" t="inlineStr">
        <is>
          <t>Certidao oficial do SU16 (CAMT, taxa de ocupacao, gabarito)</t>
        </is>
      </c>
      <c r="C17" s="11" t="inlineStr">
        <is>
          <t>Lei 1.838/2014</t>
        </is>
      </c>
      <c r="D17" s="18" t="inlineStr">
        <is>
          <t>obra</t>
        </is>
      </c>
      <c r="E17" s="11" t="inlineStr">
        <is>
          <t>Condiciona toda a implantacao</t>
        </is>
      </c>
    </row>
    <row r="18">
      <c r="A18" s="18" t="inlineStr">
        <is>
          <t>3</t>
        </is>
      </c>
      <c r="B18" s="43" t="inlineStr">
        <is>
          <t>Calculo estrutural do hibrido LSF + laminado, com ART</t>
        </is>
      </c>
      <c r="C18" s="11" t="inlineStr">
        <is>
          <t>NBR 8800 / 14762</t>
        </is>
      </c>
      <c r="D18" s="18" t="inlineStr">
        <is>
          <t>fabricacao</t>
        </is>
      </c>
      <c r="E18" s="11" t="inlineStr">
        <is>
          <t>Estrutura e balanco; inclui o apoio da caixa d'agua. O pre-dimensionamento por flecha nao substitui verificacao de flambagem lateral</t>
        </is>
      </c>
    </row>
    <row r="19">
      <c r="A19" s="18" t="inlineStr">
        <is>
          <t>6</t>
        </is>
      </c>
      <c r="B19" s="43" t="inlineStr">
        <is>
          <t>Regulamento especifico do condominio</t>
        </is>
      </c>
      <c r="C19" s="11" t="inlineStr">
        <is>
          <t>—</t>
        </is>
      </c>
      <c r="D19" s="18" t="inlineStr">
        <is>
          <t>obra</t>
        </is>
      </c>
      <c r="E19" s="11" t="inlineStr">
        <is>
          <t>Fachada, muros, recuos e especie vegetal</t>
        </is>
      </c>
    </row>
    <row r="20">
      <c r="A20" s="18" t="inlineStr">
        <is>
          <t>8</t>
        </is>
      </c>
      <c r="B20" s="43" t="inlineStr">
        <is>
          <t>Nesting codificado dos paineis LSF</t>
        </is>
      </c>
      <c r="C20" s="11" t="inlineStr">
        <is>
          <t>fabricante</t>
        </is>
      </c>
      <c r="D20" s="18" t="inlineStr">
        <is>
          <t>fabricacao</t>
        </is>
      </c>
      <c r="E20" s="11" t="inlineStr">
        <is>
          <t>A paginacao atual e de estudo, nao de corte</t>
        </is>
      </c>
    </row>
    <row r="21">
      <c r="A21" s="18" t="inlineStr">
        <is>
          <t>12</t>
        </is>
      </c>
      <c r="B21" s="43" t="inlineStr">
        <is>
          <t>Cotacao dos materiais: 100 % dos precos sao (H)</t>
        </is>
      </c>
      <c r="C21" s="11" t="inlineStr">
        <is>
          <t>Lei 14.133 art. 23 (parametro de 3 propostas)</t>
        </is>
      </c>
      <c r="D21" s="18" t="inlineStr">
        <is>
          <t>contrato</t>
        </is>
      </c>
      <c r="E21" s="11" t="inlineStr">
        <is>
          <t>O mapa de cotacao existe e esta pronto para sair; enquanto nao voltar, o custo e ordem de grandeza para auditar quantidade, nunca base de contrato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2026-09-14T17:49:17Z</dcterms:created>
  <dcterms:modified xsi:type="dcterms:W3CDTF">2026-09-14T17:49:17Z</dcterms:modified>
</cp:coreProperties>
</file>