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TAÇÃO" sheetId="2" state="visible" r:id="rId2"/>
    <sheet name="RESUMO" sheetId="3" state="visible" r:id="rId3"/>
    <sheet name="ESPECIFICAÇÕES" sheetId="4" state="visible" r:id="rId4"/>
    <sheet name="FORNECEDORES" sheetId="5" state="visible" r:id="rId5"/>
    <sheet name="REFERÊNCIAS" sheetId="6" state="visible" r:id="rId6"/>
    <sheet name="FORA DO ESCOPO" sheetId="7" state="visible" r:id="rId7"/>
    <sheet name="PEÇAS E CORTE" sheetId="8" state="visible" r:id="rId8"/>
  </sheets>
  <definedNames>
    <definedName name="_xlnm._FilterDatabase" localSheetId="1" hidden="1">'COTAÇÃO'!$A$3:$V$194</definedName>
    <definedName name="_xlnm._FilterDatabase" localSheetId="3" hidden="1">'ESPECIFICAÇÕES'!$A$3:$I$194</definedName>
    <definedName name="_xlnm._FilterDatabase" localSheetId="7" hidden="1">'PEÇAS E CORTE'!$A$4:$F$70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;&quot;—&quot;"/>
    <numFmt numFmtId="165" formatCode="0.0%;[Red]-0.0%;&quot;—&quot;"/>
    <numFmt numFmtId="166" formatCode="R$ #,##0.00;[Red]-R$ #,##0.00;&quot;—&quot;"/>
    <numFmt numFmtId="167" formatCode="0.00&quot;x&quot;"/>
    <numFmt numFmtId="168" formatCode="R$ #,##0;[Red]-R$ #,##0;&quot;—&quot;"/>
    <numFmt numFmtId="169" formatCode="DD/MM/YYYY"/>
    <numFmt numFmtId="170" formatCode="0.000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165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164" fontId="5" fillId="3" borderId="1" pivotButton="0" quotePrefix="0" xfId="0"/>
    <xf numFmtId="165" fontId="7" fillId="4" borderId="1" pivotButton="0" quotePrefix="0" xfId="0"/>
    <xf numFmtId="164" fontId="5" fillId="0" borderId="1" pivotButton="0" quotePrefix="0" xfId="0"/>
    <xf numFmtId="166" fontId="5" fillId="3" borderId="1" pivotButton="0" quotePrefix="0" xfId="0"/>
    <xf numFmtId="166" fontId="5" fillId="0" borderId="1" pivotButton="0" quotePrefix="0" xfId="0"/>
    <xf numFmtId="166" fontId="7" fillId="4" borderId="1" pivotButton="0" quotePrefix="0" xfId="0"/>
    <xf numFmtId="0" fontId="5" fillId="0" borderId="1" applyAlignment="1" pivotButton="0" quotePrefix="0" xfId="0">
      <alignment horizontal="center" vertical="center"/>
    </xf>
    <xf numFmtId="166" fontId="4" fillId="0" borderId="1" pivotButton="0" quotePrefix="0" xfId="0"/>
    <xf numFmtId="167" fontId="5" fillId="0" borderId="1" pivotButton="0" quotePrefix="0" xfId="0"/>
    <xf numFmtId="165" fontId="5" fillId="0" borderId="1" pivotButton="0" quotePrefix="0" xfId="0"/>
    <xf numFmtId="0" fontId="0" fillId="5" borderId="1" pivotButton="0" quotePrefix="0" xfId="0"/>
    <xf numFmtId="0" fontId="8" fillId="5" borderId="1" pivotButton="0" quotePrefix="0" xfId="0"/>
    <xf numFmtId="168" fontId="9" fillId="5" borderId="1" pivotButton="0" quotePrefix="0" xfId="0"/>
    <xf numFmtId="165" fontId="9" fillId="5" borderId="1" pivotButton="0" quotePrefix="0" xfId="0"/>
    <xf numFmtId="0" fontId="6" fillId="2" borderId="1" applyAlignment="1" pivotButton="0" quotePrefix="0" xfId="0">
      <alignment horizontal="center" vertical="center"/>
    </xf>
    <xf numFmtId="168" fontId="5" fillId="0" borderId="1" pivotButton="0" quotePrefix="0" xfId="0"/>
    <xf numFmtId="0" fontId="4" fillId="5" borderId="1" applyAlignment="1" pivotButton="0" quotePrefix="0" xfId="0">
      <alignment horizontal="center" vertical="center"/>
    </xf>
    <xf numFmtId="168" fontId="11" fillId="5" borderId="1" pivotButton="0" quotePrefix="0" xfId="0"/>
    <xf numFmtId="165" fontId="4" fillId="5" borderId="1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168" fontId="5" fillId="0" borderId="0" pivotButton="0" quotePrefix="0" xfId="0"/>
    <xf numFmtId="165" fontId="7" fillId="4" borderId="0" pivotButton="0" quotePrefix="0" xfId="0"/>
    <xf numFmtId="166" fontId="5" fillId="0" borderId="0" pivotButton="0" quotePrefix="0" xfId="0"/>
    <xf numFmtId="0" fontId="4" fillId="6" borderId="1" pivotButton="0" quotePrefix="0" xfId="0"/>
    <xf numFmtId="0" fontId="7" fillId="4" borderId="1" pivotButton="0" quotePrefix="0" xfId="0"/>
    <xf numFmtId="169" fontId="7" fillId="4" borderId="1" pivotButton="0" quotePrefix="0" xfId="0"/>
    <xf numFmtId="165" fontId="5" fillId="0" borderId="0" pivotButton="0" quotePrefix="0" xfId="0"/>
    <xf numFmtId="167" fontId="7" fillId="4" borderId="0" pivotButton="0" quotePrefix="0" xfId="0"/>
    <xf numFmtId="0" fontId="4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170" fontId="5" fillId="0" borderId="1" pivotButton="0" quotePrefix="0" xfId="0"/>
    <xf numFmtId="0" fontId="4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Modelo Porto Real</author>
  </authors>
  <commentList>
    <comment ref="C4" authorId="0" shapeId="0">
      <text>
        <t>perfil formado a frio em barra de 6.000 mm; aco ZAR 230, fy 230 MPa, fu 310 MPa; revestimento Z275; massa BRUTA, ja com a perda de corte (11.1 %)
NORMAS: NBR 14762, NBR 15253, NBR 7008</t>
      </text>
    </comment>
    <comment ref="C5" authorId="0" shapeId="0">
      <text>
        <t>Chapa de gesso; chapa 1200 x 2400 mm; espessura 12.5 mm
NORMAS: NBR 14715</t>
      </text>
    </comment>
    <comment ref="C6" authorId="0" shapeId="0">
      <text>
        <t>Painel sandwich PIR; chapa 1000 x 12000 mm; espessura 75 mm
NORMAS: NBR 16373</t>
      </text>
    </comment>
    <comment ref="C7" authorId="0" shapeId="0">
      <text>
        <t>Placa cimenticia; chapa 1200 x 2400 mm; espessura 10 mm
NORMAS: NBR 15498</t>
      </text>
    </comment>
    <comment ref="C8" authorId="0" shapeId="0">
      <text>
        <t>La de rocha; chapa 1200 x 25000 mm; espessura 50 mm
NORMAS: NBR 11722</t>
      </text>
    </comment>
    <comment ref="C9" authorId="0" shapeId="0">
      <text>
        <t>XPS; chapa 600 x 1250 mm; espessura 20 mm
NORMAS: NBR 11752</t>
      </text>
    </comment>
    <comment ref="C10" authorId="0" shapeId="0">
      <text>
        <t>chapa dobrada / manta conforme descricao
NORMAS: NBR 10844, NBR 9575</t>
      </text>
    </comment>
    <comment ref="C11" authorId="0" shapeId="0">
      <text>
        <t>OSB estrutural; chapa 1220 x 2440 mm; espessura 18 mm
NORMAS: NBR 14810 / EN 300</t>
      </text>
    </comment>
    <comment ref="C12" authorId="0" shapeId="0">
      <text>
        <t>cantoneira de canto e arremate
NORMAS: NBR 15758</t>
      </text>
    </comment>
    <comment ref="C13" authorId="0" shapeId="0">
      <text>
        <t>La de vidro; chapa 1200 x 25000 mm; espessura 50 mm
NORMAS: NBR 11722</t>
      </text>
    </comment>
    <comment ref="C14" authorId="0" shapeId="0">
      <text>
        <t>perfilaria de forro em aco galvanizado, malha 600 x 1.200, pendural regulavel; tabica perimetral de sombra
NORMAS: NBR 15758-2</t>
      </text>
    </comment>
    <comment ref="C15" authorId="0" shapeId="0">
      <text>
        <t>massa para junta, aplicacao em 3 demaos
NORMAS: NBR 15758
LACUNA: rendimento da embalagem (metros por rolo, metros por balde): o modelo mede COMPRIMENTO de junta, nao embalagem</t>
      </text>
    </comment>
    <comment ref="C16" authorId="0" shapeId="0">
      <text>
        <t>perfilaria de forro em aco galvanizado, malha 600 x 1.200, pendural regulavel; tabica perimetral de sombra
NORMAS: NBR 15758-2</t>
      </text>
    </comment>
    <comment ref="C17" authorId="0" shapeId="0">
      <text>
        <t>La de vidro; chapa 1200 x 25000 mm; espessura 48 mm
NORMAS: NBR 11722</t>
      </text>
    </comment>
    <comment ref="C18" authorId="0" shapeId="0">
      <text>
        <t>Chapa de gesso RU; chapa 1200 x 2400 mm; espessura 12.5 mm
NORMAS: NBR 14715</t>
      </text>
    </comment>
    <comment ref="C19" authorId="0" shapeId="0">
      <text>
        <t>tipos em uso: AB 4,8x19 ponta broca, AB 5,5x25 ponta broca
NORMAS: NBR 14762 item 8.4</t>
      </text>
    </comment>
    <comment ref="C20" authorId="0" shapeId="0">
      <text>
        <t>perfilaria de forro em aco galvanizado, malha 600 x 1.200, pendural regulavel; tabica perimetral de sombra
NORMAS: NBR 15758-2</t>
      </text>
    </comment>
    <comment ref="C21" authorId="0" shapeId="0">
      <text>
        <t>fita de papel microperfurada para junta
NORMAS: NBR 15758
LACUNA: rendimento da embalagem (metros por rolo, metros por balde): o modelo mede COMPRIMENTO de junta, nao embalagem</t>
      </text>
    </comment>
    <comment ref="C22" authorId="0" shapeId="0">
      <text>
        <t>chapa dobrada / manta conforme descricao
NORMAS: NBR 10844, NBR 9575</t>
      </text>
    </comment>
    <comment ref="C23" authorId="0" shapeId="0">
      <text>
        <t>chapa dobrada / manta conforme descricao
NORMAS: NBR 10844, NBR 9575</t>
      </text>
    </comment>
    <comment ref="C26" authorId="0" shapeId="0">
      <text>
        <t>chapa dobrada / manta conforme descricao
NORMAS: NBR 10844, NBR 9575</t>
      </text>
    </comment>
    <comment ref="C27" authorId="0" shapeId="0">
      <text>
        <t>chapa dobrada / manta conforme descricao
NORMAS: NBR 10844, NBR 9575</t>
      </text>
    </comment>
    <comment ref="C29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0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1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2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3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4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5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6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7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8" authorId="0" shapeId="0">
      <text>
        <t>fck 30 MPa, aco CA-50, tela Q196; (H) ate a sondagem: a especificacao muda com o laudo
NORMAS: NBR 12655, NBR 6118, NBR 6122</t>
      </text>
    </comment>
    <comment ref="C39" authorId="0" shapeId="0">
      <text>
        <t>fck 30 MPa, aco CA-50, tela Q196; (H) ate a sondagem: a especificacao muda com o laudo
NORMAS: NBR 12655, NBR 6118, NBR 6122</t>
      </text>
    </comment>
    <comment ref="C40" authorId="0" shapeId="0">
      <text>
        <t>fck 30 MPa, aco CA-50, tela Q196; (H) ate a sondagem: a especificacao muda com o laudo
NORMAS: NBR 12655, NBR 6118, NBR 6122</t>
      </text>
    </comment>
    <comment ref="C41" authorId="0" shapeId="0">
      <text>
        <t>fck 30 MPa, aco CA-50, tela Q196; (H) ate a sondagem: a especificacao muda com o laudo
NORMAS: NBR 12655, NBR 6118, NBR 6122</t>
      </text>
    </comment>
    <comment ref="C42" authorId="0" shapeId="0">
      <text>
        <t>fck 30 MPa, aco CA-50, tela Q196; (H) ate a sondagem: a especificacao muda com o laudo
NORMAS: NBR 12655, NBR 6118, NBR 6122</t>
      </text>
    </comment>
    <comment ref="C43" authorId="0" shapeId="0">
      <text>
        <t>fck 30 MPa, aco CA-50, tela Q196; (H) ate a sondagem: a especificacao muda com o laudo
NORMAS: NBR 12655, NBR 6118, NBR 6122</t>
      </text>
    </comment>
    <comment ref="C44" authorId="0" shapeId="0">
      <text>
        <t>fck 30 MPa, aco CA-50, tela Q196; (H) ate a sondagem: a especificacao muda com o laudo
NORMAS: NBR 12655, NBR 6118, NBR 6122</t>
      </text>
    </comment>
    <comment ref="C45" authorId="0" shapeId="0">
      <text>
        <t>fck 30 MPa, aco CA-50, tela Q196; (H) ate a sondagem: a especificacao muda com o laudo
NORMAS: NBR 12655, NBR 6118, NBR 6122</t>
      </text>
    </comment>
    <comment ref="C46" authorId="0" shapeId="0">
      <text>
        <t>fck 30 MPa, aco CA-50, tela Q196; (H) ate a sondagem: a especificacao muda com o laudo
NORMAS: NBR 12655, NBR 6118, NBR 6122</t>
      </text>
    </comment>
    <comment ref="C47" authorId="0" shapeId="0">
      <text>
        <t>fck 30 MPa, aco CA-50, tela Q196; (H) ate a sondagem: a especificacao muda com o laudo
NORMAS: NBR 12655, NBR 6118, NBR 6122</t>
      </text>
    </comment>
    <comment ref="C48" authorId="0" shapeId="0">
      <text>
        <t>fck 30 MPa, aco CA-50, tela Q196; (H) ate a sondagem: a especificacao muda com o laudo
NORMAS: NBR 12655, NBR 6118, NBR 6122</t>
      </text>
    </comment>
    <comment ref="C49" authorId="0" shapeId="0">
      <text>
        <t>tubo, conexao ou condutor conforme descricao
NORMAS: NBR 5410, NBR 5626, NBR 8160</t>
      </text>
    </comment>
    <comment ref="C50" authorId="0" shapeId="0">
      <text>
        <t>tubo, conexao ou condutor conforme descricao
NORMAS: NBR 5410, NBR 5626, NBR 8160</t>
      </text>
    </comment>
    <comment ref="C52" authorId="0" shapeId="0">
      <text>
        <t>tubo, conexao ou condutor conforme descricao
NORMAS: NBR 5410, NBR 5626, NBR 8160</t>
      </text>
    </comment>
    <comment ref="C53" authorId="0" shapeId="0">
      <text>
        <t>tubo, conexao ou condutor conforme descricao
NORMAS: NBR 5410, NBR 5626, NBR 8160</t>
      </text>
    </comment>
    <comment ref="C54" authorId="0" shapeId="0">
      <text>
        <t>tubo, conexao ou condutor conforme descricao; DN50
NORMAS: NBR 5410, NBR 5626, NBR 8160</t>
      </text>
    </comment>
    <comment ref="C56" authorId="0" shapeId="0">
      <text>
        <t>tubo, conexao ou condutor conforme descricao
NORMAS: NBR 5410, NBR 5626, NBR 8160</t>
      </text>
    </comment>
    <comment ref="C57" authorId="0" shapeId="0">
      <text>
        <t>tubo, conexao ou condutor conforme descricao
NORMAS: NBR 5410, NBR 5626, NBR 8160</t>
      </text>
    </comment>
    <comment ref="C59" authorId="0" shapeId="0">
      <text>
        <t>tubo, conexao ou condutor conforme descricao; DN75
NORMAS: NBR 5410, NBR 5626, NBR 8160</t>
      </text>
    </comment>
    <comment ref="C60" authorId="0" shapeId="0">
      <text>
        <t>tubo, conexao ou condutor conforme descricao; DN20
NORMAS: NBR 5410, NBR 5626, NBR 8160</t>
      </text>
    </comment>
    <comment ref="C61" authorId="0" shapeId="0">
      <text>
        <t>tubo, conexao ou condutor conforme descricao; DN40
NORMAS: NBR 5410, NBR 5626, NBR 8160</t>
      </text>
    </comment>
    <comment ref="C62" authorId="0" shapeId="0">
      <text>
        <t>tubo, conexao ou condutor conforme descricao; DN100
NORMAS: NBR 5410, NBR 5626, NBR 8160</t>
      </text>
    </comment>
    <comment ref="C63" authorId="0" shapeId="0">
      <text>
        <t>tubo, conexao ou condutor conforme descricao; DN20
NORMAS: NBR 5410, NBR 5626, NBR 8160</t>
      </text>
    </comment>
    <comment ref="C69" authorId="0" shapeId="0">
      <text>
        <t>tubo, conexao ou condutor conforme descricao
NORMAS: NBR 5410, NBR 5626, NBR 8160</t>
      </text>
    </comment>
    <comment ref="C77" authorId="0" shapeId="0">
      <text>
        <t>tipos em uso: AB 4,8x19 ponta broca, AB 5,5x25 ponta broca
NORMAS: NBR 14762 item 8.4</t>
      </text>
    </comment>
    <comment ref="C78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9" authorId="0" shapeId="0">
      <text>
        <t>placa cimenticia 1.200 x 2.400 com revestimento mineral aplicado em fabrica, cor clara, junta seca de 6 mm com perfil EPDM — face externa do volume superior e da platibanda
NORMAS: NBR 13245, NBR 15498
LACUNA: fabricante e linha do revestimento mineral: acabamento de fachada e decisao do proprietario</t>
      </text>
    </comment>
    <comment ref="C81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2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3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5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6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8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126" authorId="0" shapeId="0">
      <text>
        <t>hora de equipe, com encargos e EPI
LACUNA: convencao coletiva vigente e composicao de encargos</t>
      </text>
    </comment>
    <comment ref="C127" authorId="0" shapeId="0">
      <text>
        <t>hora de equipe, com encargos e EPI
LACUNA: convencao coletiva vigente e composicao de encargos</t>
      </text>
    </comment>
    <comment ref="C128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9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0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1" authorId="0" shapeId="0">
      <text>
        <t>tinta e mao de obra conforme especificacao de acabamento; 2 demaos sobre selador; rendimento declarado na quantidade
NORMAS: NBR 11702, NBR 13245</t>
      </text>
    </comment>
    <comment ref="C132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33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4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3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6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7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8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39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0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41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2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43" authorId="0" shapeId="0">
      <text>
        <t>tinta e mao de obra conforme especificacao de acabamento; 2 demaos sobre selador; rendimento declarado na quantidade
NORMAS: NBR 11702, NBR 13245</t>
      </text>
    </comment>
    <comment ref="C144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45" authorId="0" shapeId="0">
      <text>
        <t>tinta e mao de obra conforme especificacao de acabamento; 2 demaos sobre selador; rendimento declarado na quantidade
NORMAS: NBR 11702, NBR 13245</t>
      </text>
    </comment>
    <comment ref="C146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47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8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9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50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51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52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5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4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5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6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7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58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59" authorId="0" shapeId="0">
      <text>
        <t>equipamento novo, com garantia de fabrica e instalacao por credenciado
LACUNA: marca e modelo: a capacidade esta dimensionada, a escolha do equipamento e do proprietario</t>
      </text>
    </comment>
    <comment ref="C16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61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62" authorId="0" shapeId="0">
      <text>
        <t>equipamento novo, com garantia de fabrica e instalacao por credenciado
LACUNA: marca e modelo: a capacidade esta dimensionada, a escolha do equipamento e do proprietario</t>
      </text>
    </comment>
    <comment ref="C16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64" authorId="0" shapeId="0">
      <text>
        <t>tinta e mao de obra conforme especificacao de acabamento; 2 demaos sobre selador; rendimento declarado na quantidade
NORMAS: NBR 11702, NBR 13245</t>
      </text>
    </comment>
    <comment ref="C16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66" authorId="0" shapeId="0">
      <text>
        <t>equipamento novo, com garantia de fabrica e instalacao por credenciado
LACUNA: marca e modelo: a capacidade esta dimensionada, a escolha do equipamento e do proprietario</t>
      </text>
    </comment>
    <comment ref="C167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68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69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7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7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72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7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74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75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76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7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78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79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8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81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82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83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8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8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8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87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88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8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90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9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92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9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94" authorId="0" shapeId="0">
      <text>
        <t>dispositivo de embutir em caixa 4x2 / 4x4, linha unica em toda a casa; tensao 127 V para TUG e 220 V para TUE, conforme esquema declarado no projeto
NORMAS: NBR 14136, NBR 5410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8" customWidth="1" min="2" max="2"/>
  </cols>
  <sheetData>
    <row r="1" ht="24" customHeight="1">
      <c r="A1" s="1" t="inlineStr">
        <is>
          <t>PROJETO PORTO REAL — PLANILHA DE COTAÇÃO DE MATERIAIS</t>
        </is>
      </c>
    </row>
    <row r="2">
      <c r="A2" s="2" t="inlineStr">
        <is>
          <t>Residência unifamiliar em Light Steel Frame · Manaus/AM · 307.08 m² fechados · revisão R83</t>
        </is>
      </c>
    </row>
    <row r="3"/>
    <row r="4">
      <c r="A4" s="3" t="inlineStr">
        <is>
          <t>COMO USAR</t>
        </is>
      </c>
    </row>
    <row r="5">
      <c r="A5" s="4" t="inlineStr">
        <is>
          <t>1.</t>
        </is>
      </c>
      <c r="B5" s="5" t="inlineStr">
        <is>
          <t>Envie a aba ESPECIFICAÇÕES para cada fornecedor. É ela que torna o pedido cotável: quantidade sem especificação não é cotação, é palpite.</t>
        </is>
      </c>
    </row>
    <row r="6">
      <c r="A6" s="4" t="inlineStr">
        <is>
          <t>2.</t>
        </is>
      </c>
      <c r="B6" s="5" t="inlineStr">
        <is>
          <t>Peça no mínimo CINCO propostas por família (a aba FORNECEDORES já traz os nomes pesquisados, com praça).</t>
        </is>
      </c>
    </row>
    <row r="7">
      <c r="A7" s="4" t="inlineStr">
        <is>
          <t>3.</t>
        </is>
      </c>
      <c r="B7" s="5" t="inlineStr">
        <is>
          <t>Lance o preço unitário de cada fornecedor nas colunas amarelas da aba COTAÇÃO. Só isso — o resto é calculado.</t>
        </is>
      </c>
    </row>
    <row r="8">
      <c r="A8" s="4" t="inlineStr">
        <is>
          <t>4.</t>
        </is>
      </c>
      <c r="B8" s="5" t="inlineStr">
        <is>
          <t>A planilha escolhe sozinha o menor preço, o fornecedor vencedor, o total por item, o total por família e o total da obra.</t>
        </is>
      </c>
    </row>
    <row r="9">
      <c r="A9" s="4" t="inlineStr">
        <is>
          <t>5.</t>
        </is>
      </c>
      <c r="B9" s="5" t="inlineStr">
        <is>
          <t>Confira a aba REFERÊNCIAS: ela compara o total obtido com índices públicos da praça. Orçamento fora da faixa é sinal de linha faltando, não de preço ruim.</t>
        </is>
      </c>
    </row>
    <row r="10"/>
    <row r="11">
      <c r="A11" s="3" t="inlineStr">
        <is>
          <t>CÓDIGO DE CORES</t>
        </is>
      </c>
    </row>
    <row r="12">
      <c r="A12" s="4" t="inlineStr">
        <is>
          <t>AMARELO</t>
        </is>
      </c>
      <c r="B12" s="5" t="inlineStr">
        <is>
          <t>Célula de ENTRADA — é onde você digita. Nenhuma outra célula deve ser editada.</t>
        </is>
      </c>
    </row>
    <row r="13">
      <c r="A13" s="4" t="inlineStr">
        <is>
          <t>AZUL (texto)</t>
        </is>
      </c>
      <c r="B13" s="5" t="inlineStr">
        <is>
          <t>Valor digitado por você.</t>
        </is>
      </c>
    </row>
    <row r="14">
      <c r="A14" s="4" t="inlineStr">
        <is>
          <t>PRETO</t>
        </is>
      </c>
      <c r="B14" s="5" t="inlineStr">
        <is>
          <t>Valor calculado por fórmula.</t>
        </is>
      </c>
    </row>
    <row r="15">
      <c r="A15" s="4" t="inlineStr">
        <is>
          <t>CINZA</t>
        </is>
      </c>
      <c r="B15" s="5" t="inlineStr">
        <is>
          <t>Dado vindo do modelo do projeto (quantidade, especificação, norma). Não editar.</t>
        </is>
      </c>
    </row>
    <row r="16"/>
    <row r="17">
      <c r="A17" s="3" t="inlineStr">
        <is>
          <t>REGRAS DE COTAÇÃO</t>
        </is>
      </c>
    </row>
    <row r="18">
      <c r="A18" s="4" t="inlineStr">
        <is>
          <t>Preço sem data não é preço.</t>
        </is>
      </c>
      <c r="B18" s="5" t="inlineStr">
        <is>
          <t>Toda proposta precisa de data, validade, prazo de entrega e condição de pagamento. Registre na aba FORNECEDORES.</t>
        </is>
      </c>
    </row>
    <row r="19">
      <c r="A19" s="4" t="inlineStr">
        <is>
          <t>Frete dentro do preço.</t>
        </is>
      </c>
      <c r="B19" s="5" t="inlineStr">
        <is>
          <t>Peça CIF Manaus. Em praça do Norte o frete chega a 30 % do valor final e aparecer depois inviabiliza a comparação.</t>
        </is>
      </c>
    </row>
    <row r="20">
      <c r="A20" s="4" t="inlineStr">
        <is>
          <t>Três propostas é o piso legal.</t>
        </is>
      </c>
      <c r="B20" s="5" t="inlineStr">
        <is>
          <t>Lei 14.133 art. 23 usa três como parâmetro de preço de mercado; cinco é a meta desta planilha.</t>
        </is>
      </c>
    </row>
    <row r="21">
      <c r="A21" s="4" t="inlineStr">
        <is>
          <t>Quantidade é do projeto.</t>
        </is>
      </c>
      <c r="B21" s="5" t="inlineStr">
        <is>
          <t>As quantidades saem do modelo paramétrico, não de estimativa. Perda de corte já está embutida onde a especificação diz.</t>
        </is>
      </c>
    </row>
    <row r="22"/>
    <row r="23">
      <c r="A23" s="3" t="inlineStr">
        <is>
          <t>O QUE ESTA PLANILHA NÃO COBRE</t>
        </is>
      </c>
    </row>
    <row r="24">
      <c r="A24" s="4" t="inlineStr"/>
      <c r="B24" s="5" t="inlineStr">
        <is>
          <t>A aba FORA DO ESCOPO lista nove frentes que NÃO estão aqui — louças, climatização, pintura, revestimento interno, marcenaria, mão de obra de acabamento, equipamento de piscina, projetos e BDI. Esta planilha cobre os sistemas construtivos modelados. Ignorar essa aba é o erro que custa caro: orçamento erra mais por linha faltando do que por preço alto.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8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" customWidth="1" min="4" max="4"/>
    <col width="12" customWidth="1" min="5" max="5"/>
    <col width="8" customWidth="1" min="6" max="6"/>
    <col width="12" customWidth="1" min="7" max="7"/>
    <col width="12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6" customWidth="1" min="17" max="17"/>
    <col width="12" customWidth="1" min="18" max="18"/>
    <col width="11" customWidth="1" min="19" max="19"/>
    <col width="14" customWidth="1" min="20" max="20"/>
    <col width="10" customWidth="1" min="21" max="21"/>
    <col width="11" customWidth="1" min="22" max="22"/>
  </cols>
  <sheetData>
    <row r="1">
      <c r="A1" s="1" t="inlineStr">
        <is>
          <t>COTAÇÃO DE MATERIAIS — preencha apenas as colunas amarelas</t>
        </is>
      </c>
    </row>
    <row r="2">
      <c r="A2" s="2" t="inlineStr">
        <is>
          <t>Quantidades geradas pelo modelo paramétrico do projeto. Preço de referência (H) é hipótese declarada, nunca base de contrato.</t>
        </is>
      </c>
      <c r="P2" s="6" t="inlineStr">
        <is>
          <t>PROGRESSO</t>
        </is>
      </c>
      <c r="Q2" s="4">
        <f>COUNTIF(V4:V194,"COMPLETO")&amp;" de "&amp;191&amp;" itens com 5 propostas"</f>
        <v/>
      </c>
      <c r="T2" s="7">
        <f>IF(I195=0,0,SUMIF(V4:V194,"COMPLETO",I4:I194)/I195)</f>
        <v/>
      </c>
      <c r="U2" s="2" t="inlineStr">
        <is>
          <t>do custo</t>
        </is>
      </c>
    </row>
    <row r="3" ht="34" customHeight="1">
      <c r="A3" s="8" t="inlineStr">
        <is>
          <t>ITEM</t>
        </is>
      </c>
      <c r="B3" s="8" t="inlineStr">
        <is>
          <t>FAMÍLIA</t>
        </is>
      </c>
      <c r="C3" s="8" t="inlineStr">
        <is>
          <t>DESCRIÇÃO</t>
        </is>
      </c>
      <c r="D3" s="8" t="inlineStr">
        <is>
          <t>UN</t>
        </is>
      </c>
      <c r="E3" s="8" t="inlineStr">
        <is>
          <t>QUANT.
PROJETO</t>
        </is>
      </c>
      <c r="F3" s="8" t="inlineStr">
        <is>
          <t>PERDA
%</t>
        </is>
      </c>
      <c r="G3" s="8" t="inlineStr">
        <is>
          <t>QUANT. A
COMPRAR</t>
        </is>
      </c>
      <c r="H3" s="8" t="inlineStr">
        <is>
          <t>PREÇO REF.
(H)</t>
        </is>
      </c>
      <c r="I3" s="8" t="inlineStr">
        <is>
          <t>TOTAL REF.
(H)</t>
        </is>
      </c>
      <c r="J3" s="8" t="inlineStr">
        <is>
          <t>FORN. 1</t>
        </is>
      </c>
      <c r="K3" s="8" t="inlineStr">
        <is>
          <t>FORN. 2</t>
        </is>
      </c>
      <c r="L3" s="8" t="inlineStr">
        <is>
          <t>FORN. 3</t>
        </is>
      </c>
      <c r="M3" s="8" t="inlineStr">
        <is>
          <t>FORN. 4</t>
        </is>
      </c>
      <c r="N3" s="8" t="inlineStr">
        <is>
          <t>FORN. 5</t>
        </is>
      </c>
      <c r="O3" s="8" t="inlineStr">
        <is>
          <t>Nº DE
PROPOSTAS</t>
        </is>
      </c>
      <c r="P3" s="8" t="inlineStr">
        <is>
          <t>MENOR
PREÇO</t>
        </is>
      </c>
      <c r="Q3" s="8" t="inlineStr">
        <is>
          <t>FORNECEDOR
VENCEDOR</t>
        </is>
      </c>
      <c r="R3" s="8" t="inlineStr">
        <is>
          <t>PREÇO
MÉDIO</t>
        </is>
      </c>
      <c r="S3" s="8" t="inlineStr">
        <is>
          <t>DISPERSÃO
(máx/mín)</t>
        </is>
      </c>
      <c r="T3" s="8" t="inlineStr">
        <is>
          <t>TOTAL
COTADO</t>
        </is>
      </c>
      <c r="U3" s="8" t="inlineStr">
        <is>
          <t>Δ vs REF.</t>
        </is>
      </c>
      <c r="V3" s="8" t="inlineStr">
        <is>
          <t>STATUS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2" t="n">
        <v>6698.1</v>
      </c>
      <c r="F4" s="13" t="n">
        <v>0</v>
      </c>
      <c r="G4" s="14">
        <f>E4*(1+F4)</f>
        <v/>
      </c>
      <c r="H4" s="15" t="n">
        <v>11.5</v>
      </c>
      <c r="I4" s="16">
        <f>G4*H4</f>
        <v/>
      </c>
      <c r="J4" s="17" t="n"/>
      <c r="K4" s="17" t="n"/>
      <c r="L4" s="17" t="n"/>
      <c r="M4" s="17" t="n"/>
      <c r="N4" s="17" t="n"/>
      <c r="O4" s="18">
        <f>COUNT(J4:N4)</f>
        <v/>
      </c>
      <c r="P4" s="19">
        <f>IF(O4=0,"",MIN(J4:N4))</f>
        <v/>
      </c>
      <c r="Q4" s="10">
        <f>IF(O4=0,"",INDEX($J$3:$N$3,MATCH(P4,J4:N4,0)))</f>
        <v/>
      </c>
      <c r="R4" s="16">
        <f>IF(O4=0,"",AVERAGE(J4:N4))</f>
        <v/>
      </c>
      <c r="S4" s="20">
        <f>IF(O4&lt;2,"",MAX(J4:N4)/P4)</f>
        <v/>
      </c>
      <c r="T4" s="19">
        <f>IF(O4=0,"",G4*P4)</f>
        <v/>
      </c>
      <c r="U4" s="21">
        <f>IF(OR(O4=0,I4=0),"",T4/I4-1)</f>
        <v/>
      </c>
      <c r="V4" s="18">
        <f>IF(O4=0,"PENDENTE",IF(O4&gt;=5,"COMPLETO","PARCIAL"))</f>
        <v/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2" t="n">
        <v>1037.9</v>
      </c>
      <c r="F5" s="13" t="n">
        <v>0</v>
      </c>
      <c r="G5" s="14">
        <f>E5*(1+F5)</f>
        <v/>
      </c>
      <c r="H5" s="15" t="n">
        <v>28</v>
      </c>
      <c r="I5" s="16">
        <f>G5*H5</f>
        <v/>
      </c>
      <c r="J5" s="17" t="n"/>
      <c r="K5" s="17" t="n"/>
      <c r="L5" s="17" t="n"/>
      <c r="M5" s="17" t="n"/>
      <c r="N5" s="17" t="n"/>
      <c r="O5" s="18">
        <f>COUNT(J5:N5)</f>
        <v/>
      </c>
      <c r="P5" s="19">
        <f>IF(O5=0,"",MIN(J5:N5))</f>
        <v/>
      </c>
      <c r="Q5" s="10">
        <f>IF(O5=0,"",INDEX($J$3:$N$3,MATCH(P5,J5:N5,0)))</f>
        <v/>
      </c>
      <c r="R5" s="16">
        <f>IF(O5=0,"",AVERAGE(J5:N5))</f>
        <v/>
      </c>
      <c r="S5" s="20">
        <f>IF(O5&lt;2,"",MAX(J5:N5)/P5)</f>
        <v/>
      </c>
      <c r="T5" s="19">
        <f>IF(O5=0,"",G5*P5)</f>
        <v/>
      </c>
      <c r="U5" s="21">
        <f>IF(OR(O5=0,I5=0),"",T5/I5-1)</f>
        <v/>
      </c>
      <c r="V5" s="18">
        <f>IF(O5=0,"PENDENTE",IF(O5&gt;=5,"COMPLETO","PARCIAL"))</f>
        <v/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2" t="n">
        <v>157.7</v>
      </c>
      <c r="F6" s="13" t="n">
        <v>0</v>
      </c>
      <c r="G6" s="14">
        <f>E6*(1+F6)</f>
        <v/>
      </c>
      <c r="H6" s="15" t="n">
        <v>132</v>
      </c>
      <c r="I6" s="16">
        <f>G6*H6</f>
        <v/>
      </c>
      <c r="J6" s="17" t="n"/>
      <c r="K6" s="17" t="n"/>
      <c r="L6" s="17" t="n"/>
      <c r="M6" s="17" t="n"/>
      <c r="N6" s="17" t="n"/>
      <c r="O6" s="18">
        <f>COUNT(J6:N6)</f>
        <v/>
      </c>
      <c r="P6" s="19">
        <f>IF(O6=0,"",MIN(J6:N6))</f>
        <v/>
      </c>
      <c r="Q6" s="10">
        <f>IF(O6=0,"",INDEX($J$3:$N$3,MATCH(P6,J6:N6,0)))</f>
        <v/>
      </c>
      <c r="R6" s="16">
        <f>IF(O6=0,"",AVERAGE(J6:N6))</f>
        <v/>
      </c>
      <c r="S6" s="20">
        <f>IF(O6&lt;2,"",MAX(J6:N6)/P6)</f>
        <v/>
      </c>
      <c r="T6" s="19">
        <f>IF(O6=0,"",G6*P6)</f>
        <v/>
      </c>
      <c r="U6" s="21">
        <f>IF(OR(O6=0,I6=0),"",T6/I6-1)</f>
        <v/>
      </c>
      <c r="V6" s="18">
        <f>IF(O6=0,"PENDENTE",IF(O6&gt;=5,"COMPLETO","PARCIAL"))</f>
        <v/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2" t="n">
        <v>329.4</v>
      </c>
      <c r="F7" s="13" t="n">
        <v>0</v>
      </c>
      <c r="G7" s="14">
        <f>E7*(1+F7)</f>
        <v/>
      </c>
      <c r="H7" s="15" t="n">
        <v>62</v>
      </c>
      <c r="I7" s="16">
        <f>G7*H7</f>
        <v/>
      </c>
      <c r="J7" s="17" t="n"/>
      <c r="K7" s="17" t="n"/>
      <c r="L7" s="17" t="n"/>
      <c r="M7" s="17" t="n"/>
      <c r="N7" s="17" t="n"/>
      <c r="O7" s="18">
        <f>COUNT(J7:N7)</f>
        <v/>
      </c>
      <c r="P7" s="19">
        <f>IF(O7=0,"",MIN(J7:N7))</f>
        <v/>
      </c>
      <c r="Q7" s="10">
        <f>IF(O7=0,"",INDEX($J$3:$N$3,MATCH(P7,J7:N7,0)))</f>
        <v/>
      </c>
      <c r="R7" s="16">
        <f>IF(O7=0,"",AVERAGE(J7:N7))</f>
        <v/>
      </c>
      <c r="S7" s="20">
        <f>IF(O7&lt;2,"",MAX(J7:N7)/P7)</f>
        <v/>
      </c>
      <c r="T7" s="19">
        <f>IF(O7=0,"",G7*P7)</f>
        <v/>
      </c>
      <c r="U7" s="21">
        <f>IF(OR(O7=0,I7=0),"",T7/I7-1)</f>
        <v/>
      </c>
      <c r="V7" s="18">
        <f>IF(O7=0,"PENDENTE",IF(O7&gt;=5,"COMPLETO","PARCIAL"))</f>
        <v/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2" t="n">
        <v>489.5</v>
      </c>
      <c r="F8" s="13" t="n">
        <v>0</v>
      </c>
      <c r="G8" s="14">
        <f>E8*(1+F8)</f>
        <v/>
      </c>
      <c r="H8" s="15" t="n">
        <v>34</v>
      </c>
      <c r="I8" s="16">
        <f>G8*H8</f>
        <v/>
      </c>
      <c r="J8" s="17" t="n"/>
      <c r="K8" s="17" t="n"/>
      <c r="L8" s="17" t="n"/>
      <c r="M8" s="17" t="n"/>
      <c r="N8" s="17" t="n"/>
      <c r="O8" s="18">
        <f>COUNT(J8:N8)</f>
        <v/>
      </c>
      <c r="P8" s="19">
        <f>IF(O8=0,"",MIN(J8:N8))</f>
        <v/>
      </c>
      <c r="Q8" s="10">
        <f>IF(O8=0,"",INDEX($J$3:$N$3,MATCH(P8,J8:N8,0)))</f>
        <v/>
      </c>
      <c r="R8" s="16">
        <f>IF(O8=0,"",AVERAGE(J8:N8))</f>
        <v/>
      </c>
      <c r="S8" s="20">
        <f>IF(O8&lt;2,"",MAX(J8:N8)/P8)</f>
        <v/>
      </c>
      <c r="T8" s="19">
        <f>IF(O8=0,"",G8*P8)</f>
        <v/>
      </c>
      <c r="U8" s="21">
        <f>IF(OR(O8=0,I8=0),"",T8/I8-1)</f>
        <v/>
      </c>
      <c r="V8" s="18">
        <f>IF(O8=0,"PENDENTE",IF(O8&gt;=5,"COMPLETO","PARCIAL"))</f>
        <v/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2" t="n">
        <v>329.4</v>
      </c>
      <c r="F9" s="13" t="n">
        <v>0</v>
      </c>
      <c r="G9" s="14">
        <f>E9*(1+F9)</f>
        <v/>
      </c>
      <c r="H9" s="15" t="n">
        <v>41</v>
      </c>
      <c r="I9" s="16">
        <f>G9*H9</f>
        <v/>
      </c>
      <c r="J9" s="17" t="n"/>
      <c r="K9" s="17" t="n"/>
      <c r="L9" s="17" t="n"/>
      <c r="M9" s="17" t="n"/>
      <c r="N9" s="17" t="n"/>
      <c r="O9" s="18">
        <f>COUNT(J9:N9)</f>
        <v/>
      </c>
      <c r="P9" s="19">
        <f>IF(O9=0,"",MIN(J9:N9))</f>
        <v/>
      </c>
      <c r="Q9" s="10">
        <f>IF(O9=0,"",INDEX($J$3:$N$3,MATCH(P9,J9:N9,0)))</f>
        <v/>
      </c>
      <c r="R9" s="16">
        <f>IF(O9=0,"",AVERAGE(J9:N9))</f>
        <v/>
      </c>
      <c r="S9" s="20">
        <f>IF(O9&lt;2,"",MAX(J9:N9)/P9)</f>
        <v/>
      </c>
      <c r="T9" s="19">
        <f>IF(O9=0,"",G9*P9)</f>
        <v/>
      </c>
      <c r="U9" s="21">
        <f>IF(OR(O9=0,I9=0),"",T9/I9-1)</f>
        <v/>
      </c>
      <c r="V9" s="18">
        <f>IF(O9=0,"PENDENTE",IF(O9&gt;=5,"COMPLETO","PARCIAL"))</f>
        <v/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2" t="n">
        <v>131</v>
      </c>
      <c r="F10" s="13" t="n">
        <v>0</v>
      </c>
      <c r="G10" s="14">
        <f>E10*(1+F10)</f>
        <v/>
      </c>
      <c r="H10" s="15" t="n">
        <v>78</v>
      </c>
      <c r="I10" s="16">
        <f>G10*H10</f>
        <v/>
      </c>
      <c r="J10" s="17" t="n"/>
      <c r="K10" s="17" t="n"/>
      <c r="L10" s="17" t="n"/>
      <c r="M10" s="17" t="n"/>
      <c r="N10" s="17" t="n"/>
      <c r="O10" s="18">
        <f>COUNT(J10:N10)</f>
        <v/>
      </c>
      <c r="P10" s="19">
        <f>IF(O10=0,"",MIN(J10:N10))</f>
        <v/>
      </c>
      <c r="Q10" s="10">
        <f>IF(O10=0,"",INDEX($J$3:$N$3,MATCH(P10,J10:N10,0)))</f>
        <v/>
      </c>
      <c r="R10" s="16">
        <f>IF(O10=0,"",AVERAGE(J10:N10))</f>
        <v/>
      </c>
      <c r="S10" s="20">
        <f>IF(O10&lt;2,"",MAX(J10:N10)/P10)</f>
        <v/>
      </c>
      <c r="T10" s="19">
        <f>IF(O10=0,"",G10*P10)</f>
        <v/>
      </c>
      <c r="U10" s="21">
        <f>IF(OR(O10=0,I10=0),"",T10/I10-1)</f>
        <v/>
      </c>
      <c r="V10" s="18">
        <f>IF(O10=0,"PENDENTE",IF(O10&gt;=5,"COMPLETO","PARCIAL"))</f>
        <v/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2" t="n">
        <v>127.1</v>
      </c>
      <c r="F11" s="13" t="n">
        <v>0</v>
      </c>
      <c r="G11" s="14">
        <f>E11*(1+F11)</f>
        <v/>
      </c>
      <c r="H11" s="15" t="n">
        <v>58</v>
      </c>
      <c r="I11" s="16">
        <f>G11*H11</f>
        <v/>
      </c>
      <c r="J11" s="17" t="n"/>
      <c r="K11" s="17" t="n"/>
      <c r="L11" s="17" t="n"/>
      <c r="M11" s="17" t="n"/>
      <c r="N11" s="17" t="n"/>
      <c r="O11" s="18">
        <f>COUNT(J11:N11)</f>
        <v/>
      </c>
      <c r="P11" s="19">
        <f>IF(O11=0,"",MIN(J11:N11))</f>
        <v/>
      </c>
      <c r="Q11" s="10">
        <f>IF(O11=0,"",INDEX($J$3:$N$3,MATCH(P11,J11:N11,0)))</f>
        <v/>
      </c>
      <c r="R11" s="16">
        <f>IF(O11=0,"",AVERAGE(J11:N11))</f>
        <v/>
      </c>
      <c r="S11" s="20">
        <f>IF(O11&lt;2,"",MAX(J11:N11)/P11)</f>
        <v/>
      </c>
      <c r="T11" s="19">
        <f>IF(O11=0,"",G11*P11)</f>
        <v/>
      </c>
      <c r="U11" s="21">
        <f>IF(OR(O11=0,I11=0),"",T11/I11-1)</f>
        <v/>
      </c>
      <c r="V11" s="18">
        <f>IF(O11=0,"PENDENTE",IF(O11&gt;=5,"COMPLETO","PARCIAL"))</f>
        <v/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2" t="n">
        <v>1191.6</v>
      </c>
      <c r="F12" s="13" t="n">
        <v>0</v>
      </c>
      <c r="G12" s="14">
        <f>E12*(1+F12)</f>
        <v/>
      </c>
      <c r="H12" s="15" t="n">
        <v>4.5</v>
      </c>
      <c r="I12" s="16">
        <f>G12*H12</f>
        <v/>
      </c>
      <c r="J12" s="17" t="n"/>
      <c r="K12" s="17" t="n"/>
      <c r="L12" s="17" t="n"/>
      <c r="M12" s="17" t="n"/>
      <c r="N12" s="17" t="n"/>
      <c r="O12" s="18">
        <f>COUNT(J12:N12)</f>
        <v/>
      </c>
      <c r="P12" s="19">
        <f>IF(O12=0,"",MIN(J12:N12))</f>
        <v/>
      </c>
      <c r="Q12" s="10">
        <f>IF(O12=0,"",INDEX($J$3:$N$3,MATCH(P12,J12:N12,0)))</f>
        <v/>
      </c>
      <c r="R12" s="16">
        <f>IF(O12=0,"",AVERAGE(J12:N12))</f>
        <v/>
      </c>
      <c r="S12" s="20">
        <f>IF(O12&lt;2,"",MAX(J12:N12)/P12)</f>
        <v/>
      </c>
      <c r="T12" s="19">
        <f>IF(O12=0,"",G12*P12)</f>
        <v/>
      </c>
      <c r="U12" s="21">
        <f>IF(OR(O12=0,I12=0),"",T12/I12-1)</f>
        <v/>
      </c>
      <c r="V12" s="18">
        <f>IF(O12=0,"PENDENTE",IF(O12&gt;=5,"COMPLETO","PARCIAL"))</f>
        <v/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2" t="n">
        <v>178.3</v>
      </c>
      <c r="F13" s="13" t="n">
        <v>0</v>
      </c>
      <c r="G13" s="14">
        <f>E13*(1+F13)</f>
        <v/>
      </c>
      <c r="H13" s="15" t="n">
        <v>22</v>
      </c>
      <c r="I13" s="16">
        <f>G13*H13</f>
        <v/>
      </c>
      <c r="J13" s="17" t="n"/>
      <c r="K13" s="17" t="n"/>
      <c r="L13" s="17" t="n"/>
      <c r="M13" s="17" t="n"/>
      <c r="N13" s="17" t="n"/>
      <c r="O13" s="18">
        <f>COUNT(J13:N13)</f>
        <v/>
      </c>
      <c r="P13" s="19">
        <f>IF(O13=0,"",MIN(J13:N13))</f>
        <v/>
      </c>
      <c r="Q13" s="10">
        <f>IF(O13=0,"",INDEX($J$3:$N$3,MATCH(P13,J13:N13,0)))</f>
        <v/>
      </c>
      <c r="R13" s="16">
        <f>IF(O13=0,"",AVERAGE(J13:N13))</f>
        <v/>
      </c>
      <c r="S13" s="20">
        <f>IF(O13&lt;2,"",MAX(J13:N13)/P13)</f>
        <v/>
      </c>
      <c r="T13" s="19">
        <f>IF(O13=0,"",G13*P13)</f>
        <v/>
      </c>
      <c r="U13" s="21">
        <f>IF(OR(O13=0,I13=0),"",T13/I13-1)</f>
        <v/>
      </c>
      <c r="V13" s="18">
        <f>IF(O13=0,"PENDENTE",IF(O13&gt;=5,"COMPLETO","PARCIAL"))</f>
        <v/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2" t="n">
        <v>394.2</v>
      </c>
      <c r="F14" s="13" t="n">
        <v>0</v>
      </c>
      <c r="G14" s="14">
        <f>E14*(1+F14)</f>
        <v/>
      </c>
      <c r="H14" s="15" t="n">
        <v>6.8</v>
      </c>
      <c r="I14" s="16">
        <f>G14*H14</f>
        <v/>
      </c>
      <c r="J14" s="17" t="n"/>
      <c r="K14" s="17" t="n"/>
      <c r="L14" s="17" t="n"/>
      <c r="M14" s="17" t="n"/>
      <c r="N14" s="17" t="n"/>
      <c r="O14" s="18">
        <f>COUNT(J14:N14)</f>
        <v/>
      </c>
      <c r="P14" s="19">
        <f>IF(O14=0,"",MIN(J14:N14))</f>
        <v/>
      </c>
      <c r="Q14" s="10">
        <f>IF(O14=0,"",INDEX($J$3:$N$3,MATCH(P14,J14:N14,0)))</f>
        <v/>
      </c>
      <c r="R14" s="16">
        <f>IF(O14=0,"",AVERAGE(J14:N14))</f>
        <v/>
      </c>
      <c r="S14" s="20">
        <f>IF(O14&lt;2,"",MAX(J14:N14)/P14)</f>
        <v/>
      </c>
      <c r="T14" s="19">
        <f>IF(O14=0,"",G14*P14)</f>
        <v/>
      </c>
      <c r="U14" s="21">
        <f>IF(OR(O14=0,I14=0),"",T14/I14-1)</f>
        <v/>
      </c>
      <c r="V14" s="18">
        <f>IF(O14=0,"PENDENTE",IF(O14&gt;=5,"COMPLETO","PARCIAL"))</f>
        <v/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2" t="n">
        <v>958.8</v>
      </c>
      <c r="F15" s="13" t="n">
        <v>0</v>
      </c>
      <c r="G15" s="14">
        <f>E15*(1+F15)</f>
        <v/>
      </c>
      <c r="H15" s="15" t="n">
        <v>2.5</v>
      </c>
      <c r="I15" s="16">
        <f>G15*H15</f>
        <v/>
      </c>
      <c r="J15" s="17" t="n"/>
      <c r="K15" s="17" t="n"/>
      <c r="L15" s="17" t="n"/>
      <c r="M15" s="17" t="n"/>
      <c r="N15" s="17" t="n"/>
      <c r="O15" s="18">
        <f>COUNT(J15:N15)</f>
        <v/>
      </c>
      <c r="P15" s="19">
        <f>IF(O15=0,"",MIN(J15:N15))</f>
        <v/>
      </c>
      <c r="Q15" s="10">
        <f>IF(O15=0,"",INDEX($J$3:$N$3,MATCH(P15,J15:N15,0)))</f>
        <v/>
      </c>
      <c r="R15" s="16">
        <f>IF(O15=0,"",AVERAGE(J15:N15))</f>
        <v/>
      </c>
      <c r="S15" s="20">
        <f>IF(O15&lt;2,"",MAX(J15:N15)/P15)</f>
        <v/>
      </c>
      <c r="T15" s="19">
        <f>IF(O15=0,"",G15*P15)</f>
        <v/>
      </c>
      <c r="U15" s="21">
        <f>IF(OR(O15=0,I15=0),"",T15/I15-1)</f>
        <v/>
      </c>
      <c r="V15" s="18">
        <f>IF(O15=0,"PENDENTE",IF(O15&gt;=5,"COMPLETO","PARCIAL"))</f>
        <v/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2" t="n">
        <v>147</v>
      </c>
      <c r="F16" s="13" t="n">
        <v>0</v>
      </c>
      <c r="G16" s="14">
        <f>E16*(1+F16)</f>
        <v/>
      </c>
      <c r="H16" s="15" t="n">
        <v>14</v>
      </c>
      <c r="I16" s="16">
        <f>G16*H16</f>
        <v/>
      </c>
      <c r="J16" s="17" t="n"/>
      <c r="K16" s="17" t="n"/>
      <c r="L16" s="17" t="n"/>
      <c r="M16" s="17" t="n"/>
      <c r="N16" s="17" t="n"/>
      <c r="O16" s="18">
        <f>COUNT(J16:N16)</f>
        <v/>
      </c>
      <c r="P16" s="19">
        <f>IF(O16=0,"",MIN(J16:N16))</f>
        <v/>
      </c>
      <c r="Q16" s="10">
        <f>IF(O16=0,"",INDEX($J$3:$N$3,MATCH(P16,J16:N16,0)))</f>
        <v/>
      </c>
      <c r="R16" s="16">
        <f>IF(O16=0,"",AVERAGE(J16:N16))</f>
        <v/>
      </c>
      <c r="S16" s="20">
        <f>IF(O16&lt;2,"",MAX(J16:N16)/P16)</f>
        <v/>
      </c>
      <c r="T16" s="19">
        <f>IF(O16=0,"",G16*P16)</f>
        <v/>
      </c>
      <c r="U16" s="21">
        <f>IF(OR(O16=0,I16=0),"",T16/I16-1)</f>
        <v/>
      </c>
      <c r="V16" s="18">
        <f>IF(O16=0,"PENDENTE",IF(O16&gt;=5,"COMPLETO","PARCIAL"))</f>
        <v/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2" t="n">
        <v>80.90000000000001</v>
      </c>
      <c r="F17" s="13" t="n">
        <v>0</v>
      </c>
      <c r="G17" s="14">
        <f>E17*(1+F17)</f>
        <v/>
      </c>
      <c r="H17" s="15" t="n">
        <v>22</v>
      </c>
      <c r="I17" s="16">
        <f>G17*H17</f>
        <v/>
      </c>
      <c r="J17" s="17" t="n"/>
      <c r="K17" s="17" t="n"/>
      <c r="L17" s="17" t="n"/>
      <c r="M17" s="17" t="n"/>
      <c r="N17" s="17" t="n"/>
      <c r="O17" s="18">
        <f>COUNT(J17:N17)</f>
        <v/>
      </c>
      <c r="P17" s="19">
        <f>IF(O17=0,"",MIN(J17:N17))</f>
        <v/>
      </c>
      <c r="Q17" s="10">
        <f>IF(O17=0,"",INDEX($J$3:$N$3,MATCH(P17,J17:N17,0)))</f>
        <v/>
      </c>
      <c r="R17" s="16">
        <f>IF(O17=0,"",AVERAGE(J17:N17))</f>
        <v/>
      </c>
      <c r="S17" s="20">
        <f>IF(O17&lt;2,"",MAX(J17:N17)/P17)</f>
        <v/>
      </c>
      <c r="T17" s="19">
        <f>IF(O17=0,"",G17*P17)</f>
        <v/>
      </c>
      <c r="U17" s="21">
        <f>IF(OR(O17=0,I17=0),"",T17/I17-1)</f>
        <v/>
      </c>
      <c r="V17" s="18">
        <f>IF(O17=0,"PENDENTE",IF(O17&gt;=5,"COMPLETO","PARCIAL"))</f>
        <v/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2" t="n">
        <v>43.7</v>
      </c>
      <c r="F18" s="13" t="n">
        <v>0</v>
      </c>
      <c r="G18" s="14">
        <f>E18*(1+F18)</f>
        <v/>
      </c>
      <c r="H18" s="15" t="n">
        <v>36</v>
      </c>
      <c r="I18" s="16">
        <f>G18*H18</f>
        <v/>
      </c>
      <c r="J18" s="17" t="n"/>
      <c r="K18" s="17" t="n"/>
      <c r="L18" s="17" t="n"/>
      <c r="M18" s="17" t="n"/>
      <c r="N18" s="17" t="n"/>
      <c r="O18" s="18">
        <f>COUNT(J18:N18)</f>
        <v/>
      </c>
      <c r="P18" s="19">
        <f>IF(O18=0,"",MIN(J18:N18))</f>
        <v/>
      </c>
      <c r="Q18" s="10">
        <f>IF(O18=0,"",INDEX($J$3:$N$3,MATCH(P18,J18:N18,0)))</f>
        <v/>
      </c>
      <c r="R18" s="16">
        <f>IF(O18=0,"",AVERAGE(J18:N18))</f>
        <v/>
      </c>
      <c r="S18" s="20">
        <f>IF(O18&lt;2,"",MAX(J18:N18)/P18)</f>
        <v/>
      </c>
      <c r="T18" s="19">
        <f>IF(O18=0,"",G18*P18)</f>
        <v/>
      </c>
      <c r="U18" s="21">
        <f>IF(OR(O18=0,I18=0),"",T18/I18-1)</f>
        <v/>
      </c>
      <c r="V18" s="18">
        <f>IF(O18=0,"PENDENTE",IF(O18&gt;=5,"COMPLETO","PARCIAL"))</f>
        <v/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2" t="n">
        <v>12666</v>
      </c>
      <c r="F19" s="13" t="n">
        <v>0</v>
      </c>
      <c r="G19" s="14">
        <f>E19*(1+F19)</f>
        <v/>
      </c>
      <c r="H19" s="15" t="n">
        <v>0.12</v>
      </c>
      <c r="I19" s="16">
        <f>G19*H19</f>
        <v/>
      </c>
      <c r="J19" s="17" t="n"/>
      <c r="K19" s="17" t="n"/>
      <c r="L19" s="17" t="n"/>
      <c r="M19" s="17" t="n"/>
      <c r="N19" s="17" t="n"/>
      <c r="O19" s="18">
        <f>COUNT(J19:N19)</f>
        <v/>
      </c>
      <c r="P19" s="19">
        <f>IF(O19=0,"",MIN(J19:N19))</f>
        <v/>
      </c>
      <c r="Q19" s="10">
        <f>IF(O19=0,"",INDEX($J$3:$N$3,MATCH(P19,J19:N19,0)))</f>
        <v/>
      </c>
      <c r="R19" s="16">
        <f>IF(O19=0,"",AVERAGE(J19:N19))</f>
        <v/>
      </c>
      <c r="S19" s="20">
        <f>IF(O19&lt;2,"",MAX(J19:N19)/P19)</f>
        <v/>
      </c>
      <c r="T19" s="19">
        <f>IF(O19=0,"",G19*P19)</f>
        <v/>
      </c>
      <c r="U19" s="21">
        <f>IF(OR(O19=0,I19=0),"",T19/I19-1)</f>
        <v/>
      </c>
      <c r="V19" s="18">
        <f>IF(O19=0,"PENDENTE",IF(O19&gt;=5,"COMPLETO","PARCIAL"))</f>
        <v/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2" t="n">
        <v>219</v>
      </c>
      <c r="F20" s="13" t="n">
        <v>0</v>
      </c>
      <c r="G20" s="14">
        <f>E20*(1+F20)</f>
        <v/>
      </c>
      <c r="H20" s="15" t="n">
        <v>3.2</v>
      </c>
      <c r="I20" s="16">
        <f>G20*H20</f>
        <v/>
      </c>
      <c r="J20" s="17" t="n"/>
      <c r="K20" s="17" t="n"/>
      <c r="L20" s="17" t="n"/>
      <c r="M20" s="17" t="n"/>
      <c r="N20" s="17" t="n"/>
      <c r="O20" s="18">
        <f>COUNT(J20:N20)</f>
        <v/>
      </c>
      <c r="P20" s="19">
        <f>IF(O20=0,"",MIN(J20:N20))</f>
        <v/>
      </c>
      <c r="Q20" s="10">
        <f>IF(O20=0,"",INDEX($J$3:$N$3,MATCH(P20,J20:N20,0)))</f>
        <v/>
      </c>
      <c r="R20" s="16">
        <f>IF(O20=0,"",AVERAGE(J20:N20))</f>
        <v/>
      </c>
      <c r="S20" s="20">
        <f>IF(O20&lt;2,"",MAX(J20:N20)/P20)</f>
        <v/>
      </c>
      <c r="T20" s="19">
        <f>IF(O20=0,"",G20*P20)</f>
        <v/>
      </c>
      <c r="U20" s="21">
        <f>IF(OR(O20=0,I20=0),"",T20/I20-1)</f>
        <v/>
      </c>
      <c r="V20" s="18">
        <f>IF(O20=0,"PENDENTE",IF(O20&gt;=5,"COMPLETO","PARCIAL"))</f>
        <v/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2" t="n">
        <v>958.8</v>
      </c>
      <c r="F21" s="13" t="n">
        <v>0</v>
      </c>
      <c r="G21" s="14">
        <f>E21*(1+F21)</f>
        <v/>
      </c>
      <c r="H21" s="15" t="n">
        <v>0.4</v>
      </c>
      <c r="I21" s="16">
        <f>G21*H21</f>
        <v/>
      </c>
      <c r="J21" s="17" t="n"/>
      <c r="K21" s="17" t="n"/>
      <c r="L21" s="17" t="n"/>
      <c r="M21" s="17" t="n"/>
      <c r="N21" s="17" t="n"/>
      <c r="O21" s="18">
        <f>COUNT(J21:N21)</f>
        <v/>
      </c>
      <c r="P21" s="19">
        <f>IF(O21=0,"",MIN(J21:N21))</f>
        <v/>
      </c>
      <c r="Q21" s="10">
        <f>IF(O21=0,"",INDEX($J$3:$N$3,MATCH(P21,J21:N21,0)))</f>
        <v/>
      </c>
      <c r="R21" s="16">
        <f>IF(O21=0,"",AVERAGE(J21:N21))</f>
        <v/>
      </c>
      <c r="S21" s="20">
        <f>IF(O21&lt;2,"",MAX(J21:N21)/P21)</f>
        <v/>
      </c>
      <c r="T21" s="19">
        <f>IF(O21=0,"",G21*P21)</f>
        <v/>
      </c>
      <c r="U21" s="21">
        <f>IF(OR(O21=0,I21=0),"",T21/I21-1)</f>
        <v/>
      </c>
      <c r="V21" s="18">
        <f>IF(O21=0,"PENDENTE",IF(O21&gt;=5,"COMPLETO","PARCIAL"))</f>
        <v/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2" t="n">
        <v>147</v>
      </c>
      <c r="F22" s="13" t="n">
        <v>0</v>
      </c>
      <c r="G22" s="14">
        <f>E22*(1+F22)</f>
        <v/>
      </c>
      <c r="H22" s="15" t="n">
        <v>62</v>
      </c>
      <c r="I22" s="16">
        <f>G22*H22</f>
        <v/>
      </c>
      <c r="J22" s="17" t="n"/>
      <c r="K22" s="17" t="n"/>
      <c r="L22" s="17" t="n"/>
      <c r="M22" s="17" t="n"/>
      <c r="N22" s="17" t="n"/>
      <c r="O22" s="18">
        <f>COUNT(J22:N22)</f>
        <v/>
      </c>
      <c r="P22" s="19">
        <f>IF(O22=0,"",MIN(J22:N22))</f>
        <v/>
      </c>
      <c r="Q22" s="10">
        <f>IF(O22=0,"",INDEX($J$3:$N$3,MATCH(P22,J22:N22,0)))</f>
        <v/>
      </c>
      <c r="R22" s="16">
        <f>IF(O22=0,"",AVERAGE(J22:N22))</f>
        <v/>
      </c>
      <c r="S22" s="20">
        <f>IF(O22&lt;2,"",MAX(J22:N22)/P22)</f>
        <v/>
      </c>
      <c r="T22" s="19">
        <f>IF(O22=0,"",G22*P22)</f>
        <v/>
      </c>
      <c r="U22" s="21">
        <f>IF(OR(O22=0,I22=0),"",T22/I22-1)</f>
        <v/>
      </c>
      <c r="V22" s="18">
        <f>IF(O22=0,"PENDENTE",IF(O22&gt;=5,"COMPLETO","PARCIAL"))</f>
        <v/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2" t="n">
        <v>73.5</v>
      </c>
      <c r="F23" s="13" t="n">
        <v>0</v>
      </c>
      <c r="G23" s="14">
        <f>E23*(1+F23)</f>
        <v/>
      </c>
      <c r="H23" s="15" t="n">
        <v>118</v>
      </c>
      <c r="I23" s="16">
        <f>G23*H23</f>
        <v/>
      </c>
      <c r="J23" s="17" t="n"/>
      <c r="K23" s="17" t="n"/>
      <c r="L23" s="17" t="n"/>
      <c r="M23" s="17" t="n"/>
      <c r="N23" s="17" t="n"/>
      <c r="O23" s="18">
        <f>COUNT(J23:N23)</f>
        <v/>
      </c>
      <c r="P23" s="19">
        <f>IF(O23=0,"",MIN(J23:N23))</f>
        <v/>
      </c>
      <c r="Q23" s="10">
        <f>IF(O23=0,"",INDEX($J$3:$N$3,MATCH(P23,J23:N23,0)))</f>
        <v/>
      </c>
      <c r="R23" s="16">
        <f>IF(O23=0,"",AVERAGE(J23:N23))</f>
        <v/>
      </c>
      <c r="S23" s="20">
        <f>IF(O23&lt;2,"",MAX(J23:N23)/P23)</f>
        <v/>
      </c>
      <c r="T23" s="19">
        <f>IF(O23=0,"",G23*P23)</f>
        <v/>
      </c>
      <c r="U23" s="21">
        <f>IF(OR(O23=0,I23=0),"",T23/I23-1)</f>
        <v/>
      </c>
      <c r="V23" s="18">
        <f>IF(O23=0,"PENDENTE",IF(O23&gt;=5,"COMPLETO","PARCIAL"))</f>
        <v/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2" t="n">
        <v>71.3</v>
      </c>
      <c r="F24" s="13" t="n">
        <v>0</v>
      </c>
      <c r="G24" s="14">
        <f>E24*(1+F24)</f>
        <v/>
      </c>
      <c r="H24" s="15" t="n">
        <v>62</v>
      </c>
      <c r="I24" s="16">
        <f>G24*H24</f>
        <v/>
      </c>
      <c r="J24" s="17" t="n"/>
      <c r="K24" s="17" t="n"/>
      <c r="L24" s="17" t="n"/>
      <c r="M24" s="17" t="n"/>
      <c r="N24" s="17" t="n"/>
      <c r="O24" s="18">
        <f>COUNT(J24:N24)</f>
        <v/>
      </c>
      <c r="P24" s="19">
        <f>IF(O24=0,"",MIN(J24:N24))</f>
        <v/>
      </c>
      <c r="Q24" s="10">
        <f>IF(O24=0,"",INDEX($J$3:$N$3,MATCH(P24,J24:N24,0)))</f>
        <v/>
      </c>
      <c r="R24" s="16">
        <f>IF(O24=0,"",AVERAGE(J24:N24))</f>
        <v/>
      </c>
      <c r="S24" s="20">
        <f>IF(O24&lt;2,"",MAX(J24:N24)/P24)</f>
        <v/>
      </c>
      <c r="T24" s="19">
        <f>IF(O24=0,"",G24*P24)</f>
        <v/>
      </c>
      <c r="U24" s="21">
        <f>IF(OR(O24=0,I24=0),"",T24/I24-1)</f>
        <v/>
      </c>
      <c r="V24" s="18">
        <f>IF(O24=0,"PENDENTE",IF(O24&gt;=5,"COMPLETO","PARCIAL"))</f>
        <v/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2" t="n">
        <v>129.6</v>
      </c>
      <c r="F25" s="13" t="n">
        <v>0</v>
      </c>
      <c r="G25" s="14">
        <f>E25*(1+F25)</f>
        <v/>
      </c>
      <c r="H25" s="15" t="n">
        <v>14.1335</v>
      </c>
      <c r="I25" s="16">
        <f>G25*H25</f>
        <v/>
      </c>
      <c r="J25" s="17" t="n"/>
      <c r="K25" s="17" t="n"/>
      <c r="L25" s="17" t="n"/>
      <c r="M25" s="17" t="n"/>
      <c r="N25" s="17" t="n"/>
      <c r="O25" s="18">
        <f>COUNT(J25:N25)</f>
        <v/>
      </c>
      <c r="P25" s="19">
        <f>IF(O25=0,"",MIN(J25:N25))</f>
        <v/>
      </c>
      <c r="Q25" s="10">
        <f>IF(O25=0,"",INDEX($J$3:$N$3,MATCH(P25,J25:N25,0)))</f>
        <v/>
      </c>
      <c r="R25" s="16">
        <f>IF(O25=0,"",AVERAGE(J25:N25))</f>
        <v/>
      </c>
      <c r="S25" s="20">
        <f>IF(O25&lt;2,"",MAX(J25:N25)/P25)</f>
        <v/>
      </c>
      <c r="T25" s="19">
        <f>IF(O25=0,"",G25*P25)</f>
        <v/>
      </c>
      <c r="U25" s="21">
        <f>IF(OR(O25=0,I25=0),"",T25/I25-1)</f>
        <v/>
      </c>
      <c r="V25" s="18">
        <f>IF(O25=0,"PENDENTE",IF(O25&gt;=5,"COMPLETO","PARCIAL"))</f>
        <v/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2" t="n">
        <v>630</v>
      </c>
      <c r="F26" s="13" t="n">
        <v>0</v>
      </c>
      <c r="G26" s="14">
        <f>E26*(1+F26)</f>
        <v/>
      </c>
      <c r="H26" s="15" t="n">
        <v>1.8</v>
      </c>
      <c r="I26" s="16">
        <f>G26*H26</f>
        <v/>
      </c>
      <c r="J26" s="17" t="n"/>
      <c r="K26" s="17" t="n"/>
      <c r="L26" s="17" t="n"/>
      <c r="M26" s="17" t="n"/>
      <c r="N26" s="17" t="n"/>
      <c r="O26" s="18">
        <f>COUNT(J26:N26)</f>
        <v/>
      </c>
      <c r="P26" s="19">
        <f>IF(O26=0,"",MIN(J26:N26))</f>
        <v/>
      </c>
      <c r="Q26" s="10">
        <f>IF(O26=0,"",INDEX($J$3:$N$3,MATCH(P26,J26:N26,0)))</f>
        <v/>
      </c>
      <c r="R26" s="16">
        <f>IF(O26=0,"",AVERAGE(J26:N26))</f>
        <v/>
      </c>
      <c r="S26" s="20">
        <f>IF(O26&lt;2,"",MAX(J26:N26)/P26)</f>
        <v/>
      </c>
      <c r="T26" s="19">
        <f>IF(O26=0,"",G26*P26)</f>
        <v/>
      </c>
      <c r="U26" s="21">
        <f>IF(OR(O26=0,I26=0),"",T26/I26-1)</f>
        <v/>
      </c>
      <c r="V26" s="18">
        <f>IF(O26=0,"PENDENTE",IF(O26&gt;=5,"COMPLETO","PARCIAL"))</f>
        <v/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2" t="n">
        <v>13.4</v>
      </c>
      <c r="F27" s="13" t="n">
        <v>0</v>
      </c>
      <c r="G27" s="14">
        <f>E27*(1+F27)</f>
        <v/>
      </c>
      <c r="H27" s="15" t="n">
        <v>74</v>
      </c>
      <c r="I27" s="16">
        <f>G27*H27</f>
        <v/>
      </c>
      <c r="J27" s="17" t="n"/>
      <c r="K27" s="17" t="n"/>
      <c r="L27" s="17" t="n"/>
      <c r="M27" s="17" t="n"/>
      <c r="N27" s="17" t="n"/>
      <c r="O27" s="18">
        <f>COUNT(J27:N27)</f>
        <v/>
      </c>
      <c r="P27" s="19">
        <f>IF(O27=0,"",MIN(J27:N27))</f>
        <v/>
      </c>
      <c r="Q27" s="10">
        <f>IF(O27=0,"",INDEX($J$3:$N$3,MATCH(P27,J27:N27,0)))</f>
        <v/>
      </c>
      <c r="R27" s="16">
        <f>IF(O27=0,"",AVERAGE(J27:N27))</f>
        <v/>
      </c>
      <c r="S27" s="20">
        <f>IF(O27&lt;2,"",MAX(J27:N27)/P27)</f>
        <v/>
      </c>
      <c r="T27" s="19">
        <f>IF(O27=0,"",G27*P27)</f>
        <v/>
      </c>
      <c r="U27" s="21">
        <f>IF(OR(O27=0,I27=0),"",T27/I27-1)</f>
        <v/>
      </c>
      <c r="V27" s="18">
        <f>IF(O27=0,"PENDENTE",IF(O27&gt;=5,"COMPLETO","PARCIAL"))</f>
        <v/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2" t="n">
        <v>60</v>
      </c>
      <c r="F28" s="13" t="n">
        <v>0</v>
      </c>
      <c r="G28" s="14">
        <f>E28*(1+F28)</f>
        <v/>
      </c>
      <c r="H28" s="15" t="n">
        <v>16.1805</v>
      </c>
      <c r="I28" s="16">
        <f>G28*H28</f>
        <v/>
      </c>
      <c r="J28" s="17" t="n"/>
      <c r="K28" s="17" t="n"/>
      <c r="L28" s="17" t="n"/>
      <c r="M28" s="17" t="n"/>
      <c r="N28" s="17" t="n"/>
      <c r="O28" s="18">
        <f>COUNT(J28:N28)</f>
        <v/>
      </c>
      <c r="P28" s="19">
        <f>IF(O28=0,"",MIN(J28:N28))</f>
        <v/>
      </c>
      <c r="Q28" s="10">
        <f>IF(O28=0,"",INDEX($J$3:$N$3,MATCH(P28,J28:N28,0)))</f>
        <v/>
      </c>
      <c r="R28" s="16">
        <f>IF(O28=0,"",AVERAGE(J28:N28))</f>
        <v/>
      </c>
      <c r="S28" s="20">
        <f>IF(O28&lt;2,"",MAX(J28:N28)/P28)</f>
        <v/>
      </c>
      <c r="T28" s="19">
        <f>IF(O28=0,"",G28*P28)</f>
        <v/>
      </c>
      <c r="U28" s="21">
        <f>IF(OR(O28=0,I28=0),"",T28/I28-1)</f>
        <v/>
      </c>
      <c r="V28" s="18">
        <f>IF(O28=0,"PENDENTE",IF(O28&gt;=5,"COMPLETO","PARCIAL"))</f>
        <v/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2" t="n">
        <v>298.1</v>
      </c>
      <c r="F29" s="13" t="n">
        <v>0</v>
      </c>
      <c r="G29" s="14">
        <f>E29*(1+F29)</f>
        <v/>
      </c>
      <c r="H29" s="15" t="n">
        <v>185</v>
      </c>
      <c r="I29" s="16">
        <f>G29*H29</f>
        <v/>
      </c>
      <c r="J29" s="17" t="n"/>
      <c r="K29" s="17" t="n"/>
      <c r="L29" s="17" t="n"/>
      <c r="M29" s="17" t="n"/>
      <c r="N29" s="17" t="n"/>
      <c r="O29" s="18">
        <f>COUNT(J29:N29)</f>
        <v/>
      </c>
      <c r="P29" s="19">
        <f>IF(O29=0,"",MIN(J29:N29))</f>
        <v/>
      </c>
      <c r="Q29" s="10">
        <f>IF(O29=0,"",INDEX($J$3:$N$3,MATCH(P29,J29:N29,0)))</f>
        <v/>
      </c>
      <c r="R29" s="16">
        <f>IF(O29=0,"",AVERAGE(J29:N29))</f>
        <v/>
      </c>
      <c r="S29" s="20">
        <f>IF(O29&lt;2,"",MAX(J29:N29)/P29)</f>
        <v/>
      </c>
      <c r="T29" s="19">
        <f>IF(O29=0,"",G29*P29)</f>
        <v/>
      </c>
      <c r="U29" s="21">
        <f>IF(OR(O29=0,I29=0),"",T29/I29-1)</f>
        <v/>
      </c>
      <c r="V29" s="18">
        <f>IF(O29=0,"PENDENTE",IF(O29&gt;=5,"COMPLETO","PARCIAL"))</f>
        <v/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2" t="n">
        <v>59.64</v>
      </c>
      <c r="F30" s="13" t="n">
        <v>0</v>
      </c>
      <c r="G30" s="14">
        <f>E30*(1+F30)</f>
        <v/>
      </c>
      <c r="H30" s="15" t="n">
        <v>310</v>
      </c>
      <c r="I30" s="16">
        <f>G30*H30</f>
        <v/>
      </c>
      <c r="J30" s="17" t="n"/>
      <c r="K30" s="17" t="n"/>
      <c r="L30" s="17" t="n"/>
      <c r="M30" s="17" t="n"/>
      <c r="N30" s="17" t="n"/>
      <c r="O30" s="18">
        <f>COUNT(J30:N30)</f>
        <v/>
      </c>
      <c r="P30" s="19">
        <f>IF(O30=0,"",MIN(J30:N30))</f>
        <v/>
      </c>
      <c r="Q30" s="10">
        <f>IF(O30=0,"",INDEX($J$3:$N$3,MATCH(P30,J30:N30,0)))</f>
        <v/>
      </c>
      <c r="R30" s="16">
        <f>IF(O30=0,"",AVERAGE(J30:N30))</f>
        <v/>
      </c>
      <c r="S30" s="20">
        <f>IF(O30&lt;2,"",MAX(J30:N30)/P30)</f>
        <v/>
      </c>
      <c r="T30" s="19">
        <f>IF(O30=0,"",G30*P30)</f>
        <v/>
      </c>
      <c r="U30" s="21">
        <f>IF(OR(O30=0,I30=0),"",T30/I30-1)</f>
        <v/>
      </c>
      <c r="V30" s="18">
        <f>IF(O30=0,"PENDENTE",IF(O30&gt;=5,"COMPLETO","PARCIAL"))</f>
        <v/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2" t="n">
        <v>24.48</v>
      </c>
      <c r="F31" s="13" t="n">
        <v>0</v>
      </c>
      <c r="G31" s="14">
        <f>E31*(1+F31)</f>
        <v/>
      </c>
      <c r="H31" s="15" t="n">
        <v>390</v>
      </c>
      <c r="I31" s="16">
        <f>G31*H31</f>
        <v/>
      </c>
      <c r="J31" s="17" t="n"/>
      <c r="K31" s="17" t="n"/>
      <c r="L31" s="17" t="n"/>
      <c r="M31" s="17" t="n"/>
      <c r="N31" s="17" t="n"/>
      <c r="O31" s="18">
        <f>COUNT(J31:N31)</f>
        <v/>
      </c>
      <c r="P31" s="19">
        <f>IF(O31=0,"",MIN(J31:N31))</f>
        <v/>
      </c>
      <c r="Q31" s="10">
        <f>IF(O31=0,"",INDEX($J$3:$N$3,MATCH(P31,J31:N31,0)))</f>
        <v/>
      </c>
      <c r="R31" s="16">
        <f>IF(O31=0,"",AVERAGE(J31:N31))</f>
        <v/>
      </c>
      <c r="S31" s="20">
        <f>IF(O31&lt;2,"",MAX(J31:N31)/P31)</f>
        <v/>
      </c>
      <c r="T31" s="19">
        <f>IF(O31=0,"",G31*P31)</f>
        <v/>
      </c>
      <c r="U31" s="21">
        <f>IF(OR(O31=0,I31=0),"",T31/I31-1)</f>
        <v/>
      </c>
      <c r="V31" s="18">
        <f>IF(O31=0,"PENDENTE",IF(O31&gt;=5,"COMPLETO","PARCIAL"))</f>
        <v/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2" t="n">
        <v>45.4</v>
      </c>
      <c r="F32" s="13" t="n">
        <v>0</v>
      </c>
      <c r="G32" s="14">
        <f>E32*(1+F32)</f>
        <v/>
      </c>
      <c r="H32" s="15" t="n">
        <v>96</v>
      </c>
      <c r="I32" s="16">
        <f>G32*H32</f>
        <v/>
      </c>
      <c r="J32" s="17" t="n"/>
      <c r="K32" s="17" t="n"/>
      <c r="L32" s="17" t="n"/>
      <c r="M32" s="17" t="n"/>
      <c r="N32" s="17" t="n"/>
      <c r="O32" s="18">
        <f>COUNT(J32:N32)</f>
        <v/>
      </c>
      <c r="P32" s="19">
        <f>IF(O32=0,"",MIN(J32:N32))</f>
        <v/>
      </c>
      <c r="Q32" s="10">
        <f>IF(O32=0,"",INDEX($J$3:$N$3,MATCH(P32,J32:N32,0)))</f>
        <v/>
      </c>
      <c r="R32" s="16">
        <f>IF(O32=0,"",AVERAGE(J32:N32))</f>
        <v/>
      </c>
      <c r="S32" s="20">
        <f>IF(O32&lt;2,"",MAX(J32:N32)/P32)</f>
        <v/>
      </c>
      <c r="T32" s="19">
        <f>IF(O32=0,"",G32*P32)</f>
        <v/>
      </c>
      <c r="U32" s="21">
        <f>IF(OR(O32=0,I32=0),"",T32/I32-1)</f>
        <v/>
      </c>
      <c r="V32" s="18">
        <f>IF(O32=0,"PENDENTE",IF(O32&gt;=5,"COMPLETO","PARCIAL"))</f>
        <v/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2" t="n">
        <v>14</v>
      </c>
      <c r="F33" s="13" t="n">
        <v>0</v>
      </c>
      <c r="G33" s="14">
        <f>E33*(1+F33)</f>
        <v/>
      </c>
      <c r="H33" s="15" t="n">
        <v>210</v>
      </c>
      <c r="I33" s="16">
        <f>G33*H33</f>
        <v/>
      </c>
      <c r="J33" s="17" t="n"/>
      <c r="K33" s="17" t="n"/>
      <c r="L33" s="17" t="n"/>
      <c r="M33" s="17" t="n"/>
      <c r="N33" s="17" t="n"/>
      <c r="O33" s="18">
        <f>COUNT(J33:N33)</f>
        <v/>
      </c>
      <c r="P33" s="19">
        <f>IF(O33=0,"",MIN(J33:N33))</f>
        <v/>
      </c>
      <c r="Q33" s="10">
        <f>IF(O33=0,"",INDEX($J$3:$N$3,MATCH(P33,J33:N33,0)))</f>
        <v/>
      </c>
      <c r="R33" s="16">
        <f>IF(O33=0,"",AVERAGE(J33:N33))</f>
        <v/>
      </c>
      <c r="S33" s="20">
        <f>IF(O33&lt;2,"",MAX(J33:N33)/P33)</f>
        <v/>
      </c>
      <c r="T33" s="19">
        <f>IF(O33=0,"",G33*P33)</f>
        <v/>
      </c>
      <c r="U33" s="21">
        <f>IF(OR(O33=0,I33=0),"",T33/I33-1)</f>
        <v/>
      </c>
      <c r="V33" s="18">
        <f>IF(O33=0,"PENDENTE",IF(O33&gt;=5,"COMPLETO","PARCIAL"))</f>
        <v/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2" t="n">
        <v>56</v>
      </c>
      <c r="F34" s="13" t="n">
        <v>0</v>
      </c>
      <c r="G34" s="14">
        <f>E34*(1+F34)</f>
        <v/>
      </c>
      <c r="H34" s="15" t="n">
        <v>42</v>
      </c>
      <c r="I34" s="16">
        <f>G34*H34</f>
        <v/>
      </c>
      <c r="J34" s="17" t="n"/>
      <c r="K34" s="17" t="n"/>
      <c r="L34" s="17" t="n"/>
      <c r="M34" s="17" t="n"/>
      <c r="N34" s="17" t="n"/>
      <c r="O34" s="18">
        <f>COUNT(J34:N34)</f>
        <v/>
      </c>
      <c r="P34" s="19">
        <f>IF(O34=0,"",MIN(J34:N34))</f>
        <v/>
      </c>
      <c r="Q34" s="10">
        <f>IF(O34=0,"",INDEX($J$3:$N$3,MATCH(P34,J34:N34,0)))</f>
        <v/>
      </c>
      <c r="R34" s="16">
        <f>IF(O34=0,"",AVERAGE(J34:N34))</f>
        <v/>
      </c>
      <c r="S34" s="20">
        <f>IF(O34&lt;2,"",MAX(J34:N34)/P34)</f>
        <v/>
      </c>
      <c r="T34" s="19">
        <f>IF(O34=0,"",G34*P34)</f>
        <v/>
      </c>
      <c r="U34" s="21">
        <f>IF(OR(O34=0,I34=0),"",T34/I34-1)</f>
        <v/>
      </c>
      <c r="V34" s="18">
        <f>IF(O34=0,"PENDENTE",IF(O34&gt;=5,"COMPLETO","PARCIAL"))</f>
        <v/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2" t="n">
        <v>116</v>
      </c>
      <c r="F35" s="13" t="n">
        <v>0</v>
      </c>
      <c r="G35" s="14">
        <f>E35*(1+F35)</f>
        <v/>
      </c>
      <c r="H35" s="15" t="n">
        <v>18</v>
      </c>
      <c r="I35" s="16">
        <f>G35*H35</f>
        <v/>
      </c>
      <c r="J35" s="17" t="n"/>
      <c r="K35" s="17" t="n"/>
      <c r="L35" s="17" t="n"/>
      <c r="M35" s="17" t="n"/>
      <c r="N35" s="17" t="n"/>
      <c r="O35" s="18">
        <f>COUNT(J35:N35)</f>
        <v/>
      </c>
      <c r="P35" s="19">
        <f>IF(O35=0,"",MIN(J35:N35))</f>
        <v/>
      </c>
      <c r="Q35" s="10">
        <f>IF(O35=0,"",INDEX($J$3:$N$3,MATCH(P35,J35:N35,0)))</f>
        <v/>
      </c>
      <c r="R35" s="16">
        <f>IF(O35=0,"",AVERAGE(J35:N35))</f>
        <v/>
      </c>
      <c r="S35" s="20">
        <f>IF(O35&lt;2,"",MAX(J35:N35)/P35)</f>
        <v/>
      </c>
      <c r="T35" s="19">
        <f>IF(O35=0,"",G35*P35)</f>
        <v/>
      </c>
      <c r="U35" s="21">
        <f>IF(OR(O35=0,I35=0),"",T35/I35-1)</f>
        <v/>
      </c>
      <c r="V35" s="18">
        <f>IF(O35=0,"PENDENTE",IF(O35&gt;=5,"COMPLETO","PARCIAL"))</f>
        <v/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2" t="n">
        <v>14</v>
      </c>
      <c r="F36" s="13" t="n">
        <v>0</v>
      </c>
      <c r="G36" s="14">
        <f>E36*(1+F36)</f>
        <v/>
      </c>
      <c r="H36" s="15" t="n">
        <v>145</v>
      </c>
      <c r="I36" s="16">
        <f>G36*H36</f>
        <v/>
      </c>
      <c r="J36" s="17" t="n"/>
      <c r="K36" s="17" t="n"/>
      <c r="L36" s="17" t="n"/>
      <c r="M36" s="17" t="n"/>
      <c r="N36" s="17" t="n"/>
      <c r="O36" s="18">
        <f>COUNT(J36:N36)</f>
        <v/>
      </c>
      <c r="P36" s="19">
        <f>IF(O36=0,"",MIN(J36:N36))</f>
        <v/>
      </c>
      <c r="Q36" s="10">
        <f>IF(O36=0,"",INDEX($J$3:$N$3,MATCH(P36,J36:N36,0)))</f>
        <v/>
      </c>
      <c r="R36" s="16">
        <f>IF(O36=0,"",AVERAGE(J36:N36))</f>
        <v/>
      </c>
      <c r="S36" s="20">
        <f>IF(O36&lt;2,"",MAX(J36:N36)/P36)</f>
        <v/>
      </c>
      <c r="T36" s="19">
        <f>IF(O36=0,"",G36*P36)</f>
        <v/>
      </c>
      <c r="U36" s="21">
        <f>IF(OR(O36=0,I36=0),"",T36/I36-1)</f>
        <v/>
      </c>
      <c r="V36" s="18">
        <f>IF(O36=0,"PENDENTE",IF(O36&gt;=5,"COMPLETO","PARCIAL"))</f>
        <v/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2" t="n">
        <v>42</v>
      </c>
      <c r="F37" s="13" t="n">
        <v>0</v>
      </c>
      <c r="G37" s="14">
        <f>E37*(1+F37)</f>
        <v/>
      </c>
      <c r="H37" s="15" t="n">
        <v>26</v>
      </c>
      <c r="I37" s="16">
        <f>G37*H37</f>
        <v/>
      </c>
      <c r="J37" s="17" t="n"/>
      <c r="K37" s="17" t="n"/>
      <c r="L37" s="17" t="n"/>
      <c r="M37" s="17" t="n"/>
      <c r="N37" s="17" t="n"/>
      <c r="O37" s="18">
        <f>COUNT(J37:N37)</f>
        <v/>
      </c>
      <c r="P37" s="19">
        <f>IF(O37=0,"",MIN(J37:N37))</f>
        <v/>
      </c>
      <c r="Q37" s="10">
        <f>IF(O37=0,"",INDEX($J$3:$N$3,MATCH(P37,J37:N37,0)))</f>
        <v/>
      </c>
      <c r="R37" s="16">
        <f>IF(O37=0,"",AVERAGE(J37:N37))</f>
        <v/>
      </c>
      <c r="S37" s="20">
        <f>IF(O37&lt;2,"",MAX(J37:N37)/P37)</f>
        <v/>
      </c>
      <c r="T37" s="19">
        <f>IF(O37=0,"",G37*P37)</f>
        <v/>
      </c>
      <c r="U37" s="21">
        <f>IF(OR(O37=0,I37=0),"",T37/I37-1)</f>
        <v/>
      </c>
      <c r="V37" s="18">
        <f>IF(O37=0,"PENDENTE",IF(O37&gt;=5,"COMPLETO","PARCIAL"))</f>
        <v/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2" t="n">
        <v>37.74</v>
      </c>
      <c r="F38" s="13" t="n">
        <v>0</v>
      </c>
      <c r="G38" s="14">
        <f>E38*(1+F38)</f>
        <v/>
      </c>
      <c r="H38" s="15" t="n">
        <v>520</v>
      </c>
      <c r="I38" s="16">
        <f>G38*H38</f>
        <v/>
      </c>
      <c r="J38" s="17" t="n"/>
      <c r="K38" s="17" t="n"/>
      <c r="L38" s="17" t="n"/>
      <c r="M38" s="17" t="n"/>
      <c r="N38" s="17" t="n"/>
      <c r="O38" s="18">
        <f>COUNT(J38:N38)</f>
        <v/>
      </c>
      <c r="P38" s="19">
        <f>IF(O38=0,"",MIN(J38:N38))</f>
        <v/>
      </c>
      <c r="Q38" s="10">
        <f>IF(O38=0,"",INDEX($J$3:$N$3,MATCH(P38,J38:N38,0)))</f>
        <v/>
      </c>
      <c r="R38" s="16">
        <f>IF(O38=0,"",AVERAGE(J38:N38))</f>
        <v/>
      </c>
      <c r="S38" s="20">
        <f>IF(O38&lt;2,"",MAX(J38:N38)/P38)</f>
        <v/>
      </c>
      <c r="T38" s="19">
        <f>IF(O38=0,"",G38*P38)</f>
        <v/>
      </c>
      <c r="U38" s="21">
        <f>IF(OR(O38=0,I38=0),"",T38/I38-1)</f>
        <v/>
      </c>
      <c r="V38" s="18">
        <f>IF(O38=0,"PENDENTE",IF(O38&gt;=5,"COMPLETO","PARCIAL"))</f>
        <v/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2" t="n">
        <v>1530.2</v>
      </c>
      <c r="F39" s="13" t="n">
        <v>0</v>
      </c>
      <c r="G39" s="14">
        <f>E39*(1+F39)</f>
        <v/>
      </c>
      <c r="H39" s="15" t="n">
        <v>9.800000000000001</v>
      </c>
      <c r="I39" s="16">
        <f>G39*H39</f>
        <v/>
      </c>
      <c r="J39" s="17" t="n"/>
      <c r="K39" s="17" t="n"/>
      <c r="L39" s="17" t="n"/>
      <c r="M39" s="17" t="n"/>
      <c r="N39" s="17" t="n"/>
      <c r="O39" s="18">
        <f>COUNT(J39:N39)</f>
        <v/>
      </c>
      <c r="P39" s="19">
        <f>IF(O39=0,"",MIN(J39:N39))</f>
        <v/>
      </c>
      <c r="Q39" s="10">
        <f>IF(O39=0,"",INDEX($J$3:$N$3,MATCH(P39,J39:N39,0)))</f>
        <v/>
      </c>
      <c r="R39" s="16">
        <f>IF(O39=0,"",AVERAGE(J39:N39))</f>
        <v/>
      </c>
      <c r="S39" s="20">
        <f>IF(O39&lt;2,"",MAX(J39:N39)/P39)</f>
        <v/>
      </c>
      <c r="T39" s="19">
        <f>IF(O39=0,"",G39*P39)</f>
        <v/>
      </c>
      <c r="U39" s="21">
        <f>IF(OR(O39=0,I39=0),"",T39/I39-1)</f>
        <v/>
      </c>
      <c r="V39" s="18">
        <f>IF(O39=0,"PENDENTE",IF(O39&gt;=5,"COMPLETO","PARCIAL"))</f>
        <v/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2" t="n">
        <v>109.1</v>
      </c>
      <c r="F40" s="13" t="n">
        <v>0</v>
      </c>
      <c r="G40" s="14">
        <f>E40*(1+F40)</f>
        <v/>
      </c>
      <c r="H40" s="15" t="n">
        <v>128</v>
      </c>
      <c r="I40" s="16">
        <f>G40*H40</f>
        <v/>
      </c>
      <c r="J40" s="17" t="n"/>
      <c r="K40" s="17" t="n"/>
      <c r="L40" s="17" t="n"/>
      <c r="M40" s="17" t="n"/>
      <c r="N40" s="17" t="n"/>
      <c r="O40" s="18">
        <f>COUNT(J40:N40)</f>
        <v/>
      </c>
      <c r="P40" s="19">
        <f>IF(O40=0,"",MIN(J40:N40))</f>
        <v/>
      </c>
      <c r="Q40" s="10">
        <f>IF(O40=0,"",INDEX($J$3:$N$3,MATCH(P40,J40:N40,0)))</f>
        <v/>
      </c>
      <c r="R40" s="16">
        <f>IF(O40=0,"",AVERAGE(J40:N40))</f>
        <v/>
      </c>
      <c r="S40" s="20">
        <f>IF(O40&lt;2,"",MAX(J40:N40)/P40)</f>
        <v/>
      </c>
      <c r="T40" s="19">
        <f>IF(O40=0,"",G40*P40)</f>
        <v/>
      </c>
      <c r="U40" s="21">
        <f>IF(OR(O40=0,I40=0),"",T40/I40-1)</f>
        <v/>
      </c>
      <c r="V40" s="18">
        <f>IF(O40=0,"PENDENTE",IF(O40&gt;=5,"COMPLETO","PARCIAL"))</f>
        <v/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2" t="n">
        <v>410</v>
      </c>
      <c r="F41" s="13" t="n">
        <v>0</v>
      </c>
      <c r="G41" s="14">
        <f>E41*(1+F41)</f>
        <v/>
      </c>
      <c r="H41" s="15" t="n">
        <v>28</v>
      </c>
      <c r="I41" s="16">
        <f>G41*H41</f>
        <v/>
      </c>
      <c r="J41" s="17" t="n"/>
      <c r="K41" s="17" t="n"/>
      <c r="L41" s="17" t="n"/>
      <c r="M41" s="17" t="n"/>
      <c r="N41" s="17" t="n"/>
      <c r="O41" s="18">
        <f>COUNT(J41:N41)</f>
        <v/>
      </c>
      <c r="P41" s="19">
        <f>IF(O41=0,"",MIN(J41:N41))</f>
        <v/>
      </c>
      <c r="Q41" s="10">
        <f>IF(O41=0,"",INDEX($J$3:$N$3,MATCH(P41,J41:N41,0)))</f>
        <v/>
      </c>
      <c r="R41" s="16">
        <f>IF(O41=0,"",AVERAGE(J41:N41))</f>
        <v/>
      </c>
      <c r="S41" s="20">
        <f>IF(O41&lt;2,"",MAX(J41:N41)/P41)</f>
        <v/>
      </c>
      <c r="T41" s="19">
        <f>IF(O41=0,"",G41*P41)</f>
        <v/>
      </c>
      <c r="U41" s="21">
        <f>IF(OR(O41=0,I41=0),"",T41/I41-1)</f>
        <v/>
      </c>
      <c r="V41" s="18">
        <f>IF(O41=0,"PENDENTE",IF(O41&gt;=5,"COMPLETO","PARCIAL"))</f>
        <v/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2" t="n">
        <v>163.6</v>
      </c>
      <c r="F42" s="13" t="n">
        <v>0</v>
      </c>
      <c r="G42" s="14">
        <f>E42*(1+F42)</f>
        <v/>
      </c>
      <c r="H42" s="15" t="n">
        <v>46</v>
      </c>
      <c r="I42" s="16">
        <f>G42*H42</f>
        <v/>
      </c>
      <c r="J42" s="17" t="n"/>
      <c r="K42" s="17" t="n"/>
      <c r="L42" s="17" t="n"/>
      <c r="M42" s="17" t="n"/>
      <c r="N42" s="17" t="n"/>
      <c r="O42" s="18">
        <f>COUNT(J42:N42)</f>
        <v/>
      </c>
      <c r="P42" s="19">
        <f>IF(O42=0,"",MIN(J42:N42))</f>
        <v/>
      </c>
      <c r="Q42" s="10">
        <f>IF(O42=0,"",INDEX($J$3:$N$3,MATCH(P42,J42:N42,0)))</f>
        <v/>
      </c>
      <c r="R42" s="16">
        <f>IF(O42=0,"",AVERAGE(J42:N42))</f>
        <v/>
      </c>
      <c r="S42" s="20">
        <f>IF(O42&lt;2,"",MAX(J42:N42)/P42)</f>
        <v/>
      </c>
      <c r="T42" s="19">
        <f>IF(O42=0,"",G42*P42)</f>
        <v/>
      </c>
      <c r="U42" s="21">
        <f>IF(OR(O42=0,I42=0),"",T42/I42-1)</f>
        <v/>
      </c>
      <c r="V42" s="18">
        <f>IF(O42=0,"PENDENTE",IF(O42&gt;=5,"COMPLETO","PARCIAL"))</f>
        <v/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2" t="n">
        <v>130.9</v>
      </c>
      <c r="F43" s="13" t="n">
        <v>0</v>
      </c>
      <c r="G43" s="14">
        <f>E43*(1+F43)</f>
        <v/>
      </c>
      <c r="H43" s="15" t="n">
        <v>38</v>
      </c>
      <c r="I43" s="16">
        <f>G43*H43</f>
        <v/>
      </c>
      <c r="J43" s="17" t="n"/>
      <c r="K43" s="17" t="n"/>
      <c r="L43" s="17" t="n"/>
      <c r="M43" s="17" t="n"/>
      <c r="N43" s="17" t="n"/>
      <c r="O43" s="18">
        <f>COUNT(J43:N43)</f>
        <v/>
      </c>
      <c r="P43" s="19">
        <f>IF(O43=0,"",MIN(J43:N43))</f>
        <v/>
      </c>
      <c r="Q43" s="10">
        <f>IF(O43=0,"",INDEX($J$3:$N$3,MATCH(P43,J43:N43,0)))</f>
        <v/>
      </c>
      <c r="R43" s="16">
        <f>IF(O43=0,"",AVERAGE(J43:N43))</f>
        <v/>
      </c>
      <c r="S43" s="20">
        <f>IF(O43&lt;2,"",MAX(J43:N43)/P43)</f>
        <v/>
      </c>
      <c r="T43" s="19">
        <f>IF(O43=0,"",G43*P43)</f>
        <v/>
      </c>
      <c r="U43" s="21">
        <f>IF(OR(O43=0,I43=0),"",T43/I43-1)</f>
        <v/>
      </c>
      <c r="V43" s="18">
        <f>IF(O43=0,"PENDENTE",IF(O43&gt;=5,"COMPLETO","PARCIAL"))</f>
        <v/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2" t="n">
        <v>21.8</v>
      </c>
      <c r="F44" s="13" t="n">
        <v>0</v>
      </c>
      <c r="G44" s="14">
        <f>E44*(1+F44)</f>
        <v/>
      </c>
      <c r="H44" s="15" t="n">
        <v>145</v>
      </c>
      <c r="I44" s="16">
        <f>G44*H44</f>
        <v/>
      </c>
      <c r="J44" s="17" t="n"/>
      <c r="K44" s="17" t="n"/>
      <c r="L44" s="17" t="n"/>
      <c r="M44" s="17" t="n"/>
      <c r="N44" s="17" t="n"/>
      <c r="O44" s="18">
        <f>COUNT(J44:N44)</f>
        <v/>
      </c>
      <c r="P44" s="19">
        <f>IF(O44=0,"",MIN(J44:N44))</f>
        <v/>
      </c>
      <c r="Q44" s="10">
        <f>IF(O44=0,"",INDEX($J$3:$N$3,MATCH(P44,J44:N44,0)))</f>
        <v/>
      </c>
      <c r="R44" s="16">
        <f>IF(O44=0,"",AVERAGE(J44:N44))</f>
        <v/>
      </c>
      <c r="S44" s="20">
        <f>IF(O44&lt;2,"",MAX(J44:N44)/P44)</f>
        <v/>
      </c>
      <c r="T44" s="19">
        <f>IF(O44=0,"",G44*P44)</f>
        <v/>
      </c>
      <c r="U44" s="21">
        <f>IF(OR(O44=0,I44=0),"",T44/I44-1)</f>
        <v/>
      </c>
      <c r="V44" s="18">
        <f>IF(O44=0,"PENDENTE",IF(O44&gt;=5,"COMPLETO","PARCIAL"))</f>
        <v/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2" t="n">
        <v>109.1</v>
      </c>
      <c r="F45" s="13" t="n">
        <v>0</v>
      </c>
      <c r="G45" s="14">
        <f>E45*(1+F45)</f>
        <v/>
      </c>
      <c r="H45" s="15" t="n">
        <v>22</v>
      </c>
      <c r="I45" s="16">
        <f>G45*H45</f>
        <v/>
      </c>
      <c r="J45" s="17" t="n"/>
      <c r="K45" s="17" t="n"/>
      <c r="L45" s="17" t="n"/>
      <c r="M45" s="17" t="n"/>
      <c r="N45" s="17" t="n"/>
      <c r="O45" s="18">
        <f>COUNT(J45:N45)</f>
        <v/>
      </c>
      <c r="P45" s="19">
        <f>IF(O45=0,"",MIN(J45:N45))</f>
        <v/>
      </c>
      <c r="Q45" s="10">
        <f>IF(O45=0,"",INDEX($J$3:$N$3,MATCH(P45,J45:N45,0)))</f>
        <v/>
      </c>
      <c r="R45" s="16">
        <f>IF(O45=0,"",AVERAGE(J45:N45))</f>
        <v/>
      </c>
      <c r="S45" s="20">
        <f>IF(O45&lt;2,"",MAX(J45:N45)/P45)</f>
        <v/>
      </c>
      <c r="T45" s="19">
        <f>IF(O45=0,"",G45*P45)</f>
        <v/>
      </c>
      <c r="U45" s="21">
        <f>IF(OR(O45=0,I45=0),"",T45/I45-1)</f>
        <v/>
      </c>
      <c r="V45" s="18">
        <f>IF(O45=0,"PENDENTE",IF(O45&gt;=5,"COMPLETO","PARCIAL"))</f>
        <v/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2" t="n">
        <v>25.4</v>
      </c>
      <c r="F46" s="13" t="n">
        <v>0</v>
      </c>
      <c r="G46" s="14">
        <f>E46*(1+F46)</f>
        <v/>
      </c>
      <c r="H46" s="15" t="n">
        <v>68</v>
      </c>
      <c r="I46" s="16">
        <f>G46*H46</f>
        <v/>
      </c>
      <c r="J46" s="17" t="n"/>
      <c r="K46" s="17" t="n"/>
      <c r="L46" s="17" t="n"/>
      <c r="M46" s="17" t="n"/>
      <c r="N46" s="17" t="n"/>
      <c r="O46" s="18">
        <f>COUNT(J46:N46)</f>
        <v/>
      </c>
      <c r="P46" s="19">
        <f>IF(O46=0,"",MIN(J46:N46))</f>
        <v/>
      </c>
      <c r="Q46" s="10">
        <f>IF(O46=0,"",INDEX($J$3:$N$3,MATCH(P46,J46:N46,0)))</f>
        <v/>
      </c>
      <c r="R46" s="16">
        <f>IF(O46=0,"",AVERAGE(J46:N46))</f>
        <v/>
      </c>
      <c r="S46" s="20">
        <f>IF(O46&lt;2,"",MAX(J46:N46)/P46)</f>
        <v/>
      </c>
      <c r="T46" s="19">
        <f>IF(O46=0,"",G46*P46)</f>
        <v/>
      </c>
      <c r="U46" s="21">
        <f>IF(OR(O46=0,I46=0),"",T46/I46-1)</f>
        <v/>
      </c>
      <c r="V46" s="18">
        <f>IF(O46=0,"PENDENTE",IF(O46&gt;=5,"COMPLETO","PARCIAL"))</f>
        <v/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2" t="n">
        <v>4</v>
      </c>
      <c r="F47" s="13" t="n">
        <v>0</v>
      </c>
      <c r="G47" s="14">
        <f>E47*(1+F47)</f>
        <v/>
      </c>
      <c r="H47" s="15" t="n">
        <v>380</v>
      </c>
      <c r="I47" s="16">
        <f>G47*H47</f>
        <v/>
      </c>
      <c r="J47" s="17" t="n"/>
      <c r="K47" s="17" t="n"/>
      <c r="L47" s="17" t="n"/>
      <c r="M47" s="17" t="n"/>
      <c r="N47" s="17" t="n"/>
      <c r="O47" s="18">
        <f>COUNT(J47:N47)</f>
        <v/>
      </c>
      <c r="P47" s="19">
        <f>IF(O47=0,"",MIN(J47:N47))</f>
        <v/>
      </c>
      <c r="Q47" s="10">
        <f>IF(O47=0,"",INDEX($J$3:$N$3,MATCH(P47,J47:N47,0)))</f>
        <v/>
      </c>
      <c r="R47" s="16">
        <f>IF(O47=0,"",AVERAGE(J47:N47))</f>
        <v/>
      </c>
      <c r="S47" s="20">
        <f>IF(O47&lt;2,"",MAX(J47:N47)/P47)</f>
        <v/>
      </c>
      <c r="T47" s="19">
        <f>IF(O47=0,"",G47*P47)</f>
        <v/>
      </c>
      <c r="U47" s="21">
        <f>IF(OR(O47=0,I47=0),"",T47/I47-1)</f>
        <v/>
      </c>
      <c r="V47" s="18">
        <f>IF(O47=0,"PENDENTE",IF(O47&gt;=5,"COMPLETO","PARCIAL"))</f>
        <v/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2" t="n">
        <v>205</v>
      </c>
      <c r="F48" s="13" t="n">
        <v>0</v>
      </c>
      <c r="G48" s="14">
        <f>E48*(1+F48)</f>
        <v/>
      </c>
      <c r="H48" s="15" t="n">
        <v>4.5</v>
      </c>
      <c r="I48" s="16">
        <f>G48*H48</f>
        <v/>
      </c>
      <c r="J48" s="17" t="n"/>
      <c r="K48" s="17" t="n"/>
      <c r="L48" s="17" t="n"/>
      <c r="M48" s="17" t="n"/>
      <c r="N48" s="17" t="n"/>
      <c r="O48" s="18">
        <f>COUNT(J48:N48)</f>
        <v/>
      </c>
      <c r="P48" s="19">
        <f>IF(O48=0,"",MIN(J48:N48))</f>
        <v/>
      </c>
      <c r="Q48" s="10">
        <f>IF(O48=0,"",INDEX($J$3:$N$3,MATCH(P48,J48:N48,0)))</f>
        <v/>
      </c>
      <c r="R48" s="16">
        <f>IF(O48=0,"",AVERAGE(J48:N48))</f>
        <v/>
      </c>
      <c r="S48" s="20">
        <f>IF(O48&lt;2,"",MAX(J48:N48)/P48)</f>
        <v/>
      </c>
      <c r="T48" s="19">
        <f>IF(O48=0,"",G48*P48)</f>
        <v/>
      </c>
      <c r="U48" s="21">
        <f>IF(OR(O48=0,I48=0),"",T48/I48-1)</f>
        <v/>
      </c>
      <c r="V48" s="18">
        <f>IF(O48=0,"PENDENTE",IF(O48&gt;=5,"COMPLETO","PARCIAL"))</f>
        <v/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terra), por circuito e secao</t>
        </is>
      </c>
      <c r="D49" s="10" t="inlineStr">
        <is>
          <t>m</t>
        </is>
      </c>
      <c r="E49" s="12" t="n">
        <v>2784</v>
      </c>
      <c r="F49" s="13" t="n">
        <v>0</v>
      </c>
      <c r="G49" s="14">
        <f>E49*(1+F49)</f>
        <v/>
      </c>
      <c r="H49" s="15" t="n">
        <v>4.2</v>
      </c>
      <c r="I49" s="16">
        <f>G49*H49</f>
        <v/>
      </c>
      <c r="J49" s="17" t="n"/>
      <c r="K49" s="17" t="n"/>
      <c r="L49" s="17" t="n"/>
      <c r="M49" s="17" t="n"/>
      <c r="N49" s="17" t="n"/>
      <c r="O49" s="18">
        <f>COUNT(J49:N49)</f>
        <v/>
      </c>
      <c r="P49" s="19">
        <f>IF(O49=0,"",MIN(J49:N49))</f>
        <v/>
      </c>
      <c r="Q49" s="10">
        <f>IF(O49=0,"",INDEX($J$3:$N$3,MATCH(P49,J49:N49,0)))</f>
        <v/>
      </c>
      <c r="R49" s="16">
        <f>IF(O49=0,"",AVERAGE(J49:N49))</f>
        <v/>
      </c>
      <c r="S49" s="20">
        <f>IF(O49&lt;2,"",MAX(J49:N49)/P49)</f>
        <v/>
      </c>
      <c r="T49" s="19">
        <f>IF(O49=0,"",G49*P49)</f>
        <v/>
      </c>
      <c r="U49" s="21">
        <f>IF(OR(O49=0,I49=0),"",T49/I49-1)</f>
        <v/>
      </c>
      <c r="V49" s="18">
        <f>IF(O49=0,"PENDENTE",IF(O49&gt;=5,"COMPLETO","PARCIAL"))</f>
        <v/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 (arvore dos circuitos, parede a parede)</t>
        </is>
      </c>
      <c r="D50" s="10" t="inlineStr">
        <is>
          <t>m</t>
        </is>
      </c>
      <c r="E50" s="12" t="n">
        <v>1545.6</v>
      </c>
      <c r="F50" s="13" t="n">
        <v>0</v>
      </c>
      <c r="G50" s="14">
        <f>E50*(1+F50)</f>
        <v/>
      </c>
      <c r="H50" s="15" t="n">
        <v>6.5</v>
      </c>
      <c r="I50" s="16">
        <f>G50*H50</f>
        <v/>
      </c>
      <c r="J50" s="17" t="n"/>
      <c r="K50" s="17" t="n"/>
      <c r="L50" s="17" t="n"/>
      <c r="M50" s="17" t="n"/>
      <c r="N50" s="17" t="n"/>
      <c r="O50" s="18">
        <f>COUNT(J50:N50)</f>
        <v/>
      </c>
      <c r="P50" s="19">
        <f>IF(O50=0,"",MIN(J50:N50))</f>
        <v/>
      </c>
      <c r="Q50" s="10">
        <f>IF(O50=0,"",INDEX($J$3:$N$3,MATCH(P50,J50:N50,0)))</f>
        <v/>
      </c>
      <c r="R50" s="16">
        <f>IF(O50=0,"",AVERAGE(J50:N50))</f>
        <v/>
      </c>
      <c r="S50" s="20">
        <f>IF(O50&lt;2,"",MAX(J50:N50)/P50)</f>
        <v/>
      </c>
      <c r="T50" s="19">
        <f>IF(O50=0,"",G50*P50)</f>
        <v/>
      </c>
      <c r="U50" s="21">
        <f>IF(OR(O50=0,I50=0),"",T50/I50-1)</f>
        <v/>
      </c>
      <c r="V50" s="18">
        <f>IF(O50=0,"PENDENTE",IF(O50&gt;=5,"COMPLETO","PARCIAL"))</f>
        <v/>
      </c>
    </row>
    <row r="51">
      <c r="A51" s="9" t="inlineStr">
        <is>
          <t>FIX-06</t>
        </is>
      </c>
      <c r="B51" s="10" t="inlineStr">
        <is>
          <t>instalacao</t>
        </is>
      </c>
      <c r="C51" s="11" t="inlineStr">
        <is>
          <t>Bucha passa-fio 25 mm (montante atravessado)</t>
        </is>
      </c>
      <c r="D51" s="10" t="inlineStr">
        <is>
          <t>un</t>
        </is>
      </c>
      <c r="E51" s="12" t="n">
        <v>2931</v>
      </c>
      <c r="F51" s="13" t="n">
        <v>0</v>
      </c>
      <c r="G51" s="14">
        <f>E51*(1+F51)</f>
        <v/>
      </c>
      <c r="H51" s="15" t="n">
        <v>1.2</v>
      </c>
      <c r="I51" s="16">
        <f>G51*H51</f>
        <v/>
      </c>
      <c r="J51" s="17" t="n"/>
      <c r="K51" s="17" t="n"/>
      <c r="L51" s="17" t="n"/>
      <c r="M51" s="17" t="n"/>
      <c r="N51" s="17" t="n"/>
      <c r="O51" s="18">
        <f>COUNT(J51:N51)</f>
        <v/>
      </c>
      <c r="P51" s="19">
        <f>IF(O51=0,"",MIN(J51:N51))</f>
        <v/>
      </c>
      <c r="Q51" s="10">
        <f>IF(O51=0,"",INDEX($J$3:$N$3,MATCH(P51,J51:N51,0)))</f>
        <v/>
      </c>
      <c r="R51" s="16">
        <f>IF(O51=0,"",AVERAGE(J51:N51))</f>
        <v/>
      </c>
      <c r="S51" s="20">
        <f>IF(O51&lt;2,"",MAX(J51:N51)/P51)</f>
        <v/>
      </c>
      <c r="T51" s="19">
        <f>IF(O51=0,"",G51*P51)</f>
        <v/>
      </c>
      <c r="U51" s="21">
        <f>IF(OR(O51=0,I51=0),"",T51/I51-1)</f>
        <v/>
      </c>
      <c r="V51" s="18">
        <f>IF(O51=0,"PENDENTE",IF(O51&gt;=5,"COMPLETO","PARCIAL"))</f>
        <v/>
      </c>
    </row>
    <row r="52">
      <c r="A52" s="9" t="inlineStr">
        <is>
          <t>MEP-FRIGO</t>
        </is>
      </c>
      <c r="B52" s="10" t="inlineStr">
        <is>
          <t>instalacao</t>
        </is>
      </c>
      <c r="C52" s="11" t="inlineStr">
        <is>
          <t>Linha frigorigena</t>
        </is>
      </c>
      <c r="D52" s="10" t="inlineStr">
        <is>
          <t>m</t>
        </is>
      </c>
      <c r="E52" s="12" t="n">
        <v>56</v>
      </c>
      <c r="F52" s="13" t="n">
        <v>0</v>
      </c>
      <c r="G52" s="14">
        <f>E52*(1+F52)</f>
        <v/>
      </c>
      <c r="H52" s="15" t="n">
        <v>62</v>
      </c>
      <c r="I52" s="16">
        <f>G52*H52</f>
        <v/>
      </c>
      <c r="J52" s="17" t="n"/>
      <c r="K52" s="17" t="n"/>
      <c r="L52" s="17" t="n"/>
      <c r="M52" s="17" t="n"/>
      <c r="N52" s="17" t="n"/>
      <c r="O52" s="18">
        <f>COUNT(J52:N52)</f>
        <v/>
      </c>
      <c r="P52" s="19">
        <f>IF(O52=0,"",MIN(J52:N52))</f>
        <v/>
      </c>
      <c r="Q52" s="10">
        <f>IF(O52=0,"",INDEX($J$3:$N$3,MATCH(P52,J52:N52,0)))</f>
        <v/>
      </c>
      <c r="R52" s="16">
        <f>IF(O52=0,"",AVERAGE(J52:N52))</f>
        <v/>
      </c>
      <c r="S52" s="20">
        <f>IF(O52&lt;2,"",MAX(J52:N52)/P52)</f>
        <v/>
      </c>
      <c r="T52" s="19">
        <f>IF(O52=0,"",G52*P52)</f>
        <v/>
      </c>
      <c r="U52" s="21">
        <f>IF(OR(O52=0,I52=0),"",T52/I52-1)</f>
        <v/>
      </c>
      <c r="V52" s="18">
        <f>IF(O52=0,"PENDENTE",IF(O52&gt;=5,"COMPLETO","PARCIAL"))</f>
        <v/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2" t="n">
        <v>209</v>
      </c>
      <c r="F53" s="13" t="n">
        <v>0</v>
      </c>
      <c r="G53" s="14">
        <f>E53*(1+F53)</f>
        <v/>
      </c>
      <c r="H53" s="15" t="n">
        <v>12</v>
      </c>
      <c r="I53" s="16">
        <f>G53*H53</f>
        <v/>
      </c>
      <c r="J53" s="17" t="n"/>
      <c r="K53" s="17" t="n"/>
      <c r="L53" s="17" t="n"/>
      <c r="M53" s="17" t="n"/>
      <c r="N53" s="17" t="n"/>
      <c r="O53" s="18">
        <f>COUNT(J53:N53)</f>
        <v/>
      </c>
      <c r="P53" s="19">
        <f>IF(O53=0,"",MIN(J53:N53))</f>
        <v/>
      </c>
      <c r="Q53" s="10">
        <f>IF(O53=0,"",INDEX($J$3:$N$3,MATCH(P53,J53:N53,0)))</f>
        <v/>
      </c>
      <c r="R53" s="16">
        <f>IF(O53=0,"",AVERAGE(J53:N53))</f>
        <v/>
      </c>
      <c r="S53" s="20">
        <f>IF(O53&lt;2,"",MAX(J53:N53)/P53)</f>
        <v/>
      </c>
      <c r="T53" s="19">
        <f>IF(O53=0,"",G53*P53)</f>
        <v/>
      </c>
      <c r="U53" s="21">
        <f>IF(OR(O53=0,I53=0),"",T53/I53-1)</f>
        <v/>
      </c>
      <c r="V53" s="18">
        <f>IF(O53=0,"PENDENTE",IF(O53&gt;=5,"COMPLETO","PARCIAL"))</f>
        <v/>
      </c>
    </row>
    <row r="54">
      <c r="A54" s="9" t="inlineStr">
        <is>
          <t>MEP-ESGO50</t>
        </is>
      </c>
      <c r="B54" s="10" t="inlineStr">
        <is>
          <t>instalacao</t>
        </is>
      </c>
      <c r="C54" s="11" t="inlineStr">
        <is>
          <t>Tubo esgoto DN50</t>
        </is>
      </c>
      <c r="D54" s="10" t="inlineStr">
        <is>
          <t>m</t>
        </is>
      </c>
      <c r="E54" s="12" t="n">
        <v>81</v>
      </c>
      <c r="F54" s="13" t="n">
        <v>0</v>
      </c>
      <c r="G54" s="14">
        <f>E54*(1+F54)</f>
        <v/>
      </c>
      <c r="H54" s="15" t="n">
        <v>26</v>
      </c>
      <c r="I54" s="16">
        <f>G54*H54</f>
        <v/>
      </c>
      <c r="J54" s="17" t="n"/>
      <c r="K54" s="17" t="n"/>
      <c r="L54" s="17" t="n"/>
      <c r="M54" s="17" t="n"/>
      <c r="N54" s="17" t="n"/>
      <c r="O54" s="18">
        <f>COUNT(J54:N54)</f>
        <v/>
      </c>
      <c r="P54" s="19">
        <f>IF(O54=0,"",MIN(J54:N54))</f>
        <v/>
      </c>
      <c r="Q54" s="10">
        <f>IF(O54=0,"",INDEX($J$3:$N$3,MATCH(P54,J54:N54,0)))</f>
        <v/>
      </c>
      <c r="R54" s="16">
        <f>IF(O54=0,"",AVERAGE(J54:N54))</f>
        <v/>
      </c>
      <c r="S54" s="20">
        <f>IF(O54&lt;2,"",MAX(J54:N54)/P54)</f>
        <v/>
      </c>
      <c r="T54" s="19">
        <f>IF(O54=0,"",G54*P54)</f>
        <v/>
      </c>
      <c r="U54" s="21">
        <f>IF(OR(O54=0,I54=0),"",T54/I54-1)</f>
        <v/>
      </c>
      <c r="V54" s="18">
        <f>IF(O54=0,"PENDENTE",IF(O54&gt;=5,"COMPLETO","PARCIAL"))</f>
        <v/>
      </c>
    </row>
    <row r="55">
      <c r="A55" s="9" t="inlineStr">
        <is>
          <t>FIX-13</t>
        </is>
      </c>
      <c r="B55" s="10" t="inlineStr">
        <is>
          <t>instalacao</t>
        </is>
      </c>
      <c r="C55" s="11" t="inlineStr">
        <is>
          <t>Clip de eletroduto no montante (a cada 1.200 mm)</t>
        </is>
      </c>
      <c r="D55" s="10" t="inlineStr">
        <is>
          <t>un</t>
        </is>
      </c>
      <c r="E55" s="12" t="n">
        <v>1923</v>
      </c>
      <c r="F55" s="13" t="n">
        <v>0</v>
      </c>
      <c r="G55" s="14">
        <f>E55*(1+F55)</f>
        <v/>
      </c>
      <c r="H55" s="15" t="n">
        <v>0.9</v>
      </c>
      <c r="I55" s="16">
        <f>G55*H55</f>
        <v/>
      </c>
      <c r="J55" s="17" t="n"/>
      <c r="K55" s="17" t="n"/>
      <c r="L55" s="17" t="n"/>
      <c r="M55" s="17" t="n"/>
      <c r="N55" s="17" t="n"/>
      <c r="O55" s="18">
        <f>COUNT(J55:N55)</f>
        <v/>
      </c>
      <c r="P55" s="19">
        <f>IF(O55=0,"",MIN(J55:N55))</f>
        <v/>
      </c>
      <c r="Q55" s="10">
        <f>IF(O55=0,"",INDEX($J$3:$N$3,MATCH(P55,J55:N55,0)))</f>
        <v/>
      </c>
      <c r="R55" s="16">
        <f>IF(O55=0,"",AVERAGE(J55:N55))</f>
        <v/>
      </c>
      <c r="S55" s="20">
        <f>IF(O55&lt;2,"",MAX(J55:N55)/P55)</f>
        <v/>
      </c>
      <c r="T55" s="19">
        <f>IF(O55=0,"",G55*P55)</f>
        <v/>
      </c>
      <c r="U55" s="21">
        <f>IF(OR(O55=0,I55=0),"",T55/I55-1)</f>
        <v/>
      </c>
      <c r="V55" s="18">
        <f>IF(O55=0,"PENDENTE",IF(O55&gt;=5,"COMPLETO","PARCIAL"))</f>
        <v/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2" t="n">
        <v>112</v>
      </c>
      <c r="F56" s="13" t="n">
        <v>0</v>
      </c>
      <c r="G56" s="14">
        <f>E56*(1+F56)</f>
        <v/>
      </c>
      <c r="H56" s="15" t="n">
        <v>14</v>
      </c>
      <c r="I56" s="16">
        <f>G56*H56</f>
        <v/>
      </c>
      <c r="J56" s="17" t="n"/>
      <c r="K56" s="17" t="n"/>
      <c r="L56" s="17" t="n"/>
      <c r="M56" s="17" t="n"/>
      <c r="N56" s="17" t="n"/>
      <c r="O56" s="18">
        <f>COUNT(J56:N56)</f>
        <v/>
      </c>
      <c r="P56" s="19">
        <f>IF(O56=0,"",MIN(J56:N56))</f>
        <v/>
      </c>
      <c r="Q56" s="10">
        <f>IF(O56=0,"",INDEX($J$3:$N$3,MATCH(P56,J56:N56,0)))</f>
        <v/>
      </c>
      <c r="R56" s="16">
        <f>IF(O56=0,"",AVERAGE(J56:N56))</f>
        <v/>
      </c>
      <c r="S56" s="20">
        <f>IF(O56&lt;2,"",MAX(J56:N56)/P56)</f>
        <v/>
      </c>
      <c r="T56" s="19">
        <f>IF(O56=0,"",G56*P56)</f>
        <v/>
      </c>
      <c r="U56" s="21">
        <f>IF(OR(O56=0,I56=0),"",T56/I56-1)</f>
        <v/>
      </c>
      <c r="V56" s="18">
        <f>IF(O56=0,"PENDENTE",IF(O56&gt;=5,"COMPLETO","PARCIAL"))</f>
        <v/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2" t="n">
        <v>37</v>
      </c>
      <c r="F57" s="13" t="n">
        <v>0</v>
      </c>
      <c r="G57" s="14">
        <f>E57*(1+F57)</f>
        <v/>
      </c>
      <c r="H57" s="15" t="n">
        <v>38</v>
      </c>
      <c r="I57" s="16">
        <f>G57*H57</f>
        <v/>
      </c>
      <c r="J57" s="17" t="n"/>
      <c r="K57" s="17" t="n"/>
      <c r="L57" s="17" t="n"/>
      <c r="M57" s="17" t="n"/>
      <c r="N57" s="17" t="n"/>
      <c r="O57" s="18">
        <f>COUNT(J57:N57)</f>
        <v/>
      </c>
      <c r="P57" s="19">
        <f>IF(O57=0,"",MIN(J57:N57))</f>
        <v/>
      </c>
      <c r="Q57" s="10">
        <f>IF(O57=0,"",INDEX($J$3:$N$3,MATCH(P57,J57:N57,0)))</f>
        <v/>
      </c>
      <c r="R57" s="16">
        <f>IF(O57=0,"",AVERAGE(J57:N57))</f>
        <v/>
      </c>
      <c r="S57" s="20">
        <f>IF(O57&lt;2,"",MAX(J57:N57)/P57)</f>
        <v/>
      </c>
      <c r="T57" s="19">
        <f>IF(O57=0,"",G57*P57)</f>
        <v/>
      </c>
      <c r="U57" s="21">
        <f>IF(OR(O57=0,I57=0),"",T57/I57-1)</f>
        <v/>
      </c>
      <c r="V57" s="18">
        <f>IF(O57=0,"PENDENTE",IF(O57&gt;=5,"COMPLETO","PARCIAL"))</f>
        <v/>
      </c>
    </row>
    <row r="58">
      <c r="A58" s="9" t="inlineStr">
        <is>
          <t>FIX-10</t>
        </is>
      </c>
      <c r="B58" s="10" t="inlineStr">
        <is>
          <t>instalacao</t>
        </is>
      </c>
      <c r="C58" s="11" t="inlineStr">
        <is>
          <t>Caixa de passagem</t>
        </is>
      </c>
      <c r="D58" s="10" t="inlineStr">
        <is>
          <t>un</t>
        </is>
      </c>
      <c r="E58" s="12" t="n">
        <v>147</v>
      </c>
      <c r="F58" s="13" t="n">
        <v>0</v>
      </c>
      <c r="G58" s="14">
        <f>E58*(1+F58)</f>
        <v/>
      </c>
      <c r="H58" s="15" t="n">
        <v>9</v>
      </c>
      <c r="I58" s="16">
        <f>G58*H58</f>
        <v/>
      </c>
      <c r="J58" s="17" t="n"/>
      <c r="K58" s="17" t="n"/>
      <c r="L58" s="17" t="n"/>
      <c r="M58" s="17" t="n"/>
      <c r="N58" s="17" t="n"/>
      <c r="O58" s="18">
        <f>COUNT(J58:N58)</f>
        <v/>
      </c>
      <c r="P58" s="19">
        <f>IF(O58=0,"",MIN(J58:N58))</f>
        <v/>
      </c>
      <c r="Q58" s="10">
        <f>IF(O58=0,"",INDEX($J$3:$N$3,MATCH(P58,J58:N58,0)))</f>
        <v/>
      </c>
      <c r="R58" s="16">
        <f>IF(O58=0,"",AVERAGE(J58:N58))</f>
        <v/>
      </c>
      <c r="S58" s="20">
        <f>IF(O58&lt;2,"",MAX(J58:N58)/P58)</f>
        <v/>
      </c>
      <c r="T58" s="19">
        <f>IF(O58=0,"",G58*P58)</f>
        <v/>
      </c>
      <c r="U58" s="21">
        <f>IF(OR(O58=0,I58=0),"",T58/I58-1)</f>
        <v/>
      </c>
      <c r="V58" s="18">
        <f>IF(O58=0,"PENDENTE",IF(O58&gt;=5,"COMPLETO","PARCIAL"))</f>
        <v/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2" t="n">
        <v>50.2</v>
      </c>
      <c r="F59" s="13" t="n">
        <v>0</v>
      </c>
      <c r="G59" s="14">
        <f>E59*(1+F59)</f>
        <v/>
      </c>
      <c r="H59" s="15" t="n">
        <v>26</v>
      </c>
      <c r="I59" s="16">
        <f>G59*H59</f>
        <v/>
      </c>
      <c r="J59" s="17" t="n"/>
      <c r="K59" s="17" t="n"/>
      <c r="L59" s="17" t="n"/>
      <c r="M59" s="17" t="n"/>
      <c r="N59" s="17" t="n"/>
      <c r="O59" s="18">
        <f>COUNT(J59:N59)</f>
        <v/>
      </c>
      <c r="P59" s="19">
        <f>IF(O59=0,"",MIN(J59:N59))</f>
        <v/>
      </c>
      <c r="Q59" s="10">
        <f>IF(O59=0,"",INDEX($J$3:$N$3,MATCH(P59,J59:N59,0)))</f>
        <v/>
      </c>
      <c r="R59" s="16">
        <f>IF(O59=0,"",AVERAGE(J59:N59))</f>
        <v/>
      </c>
      <c r="S59" s="20">
        <f>IF(O59&lt;2,"",MAX(J59:N59)/P59)</f>
        <v/>
      </c>
      <c r="T59" s="19">
        <f>IF(O59=0,"",G59*P59)</f>
        <v/>
      </c>
      <c r="U59" s="21">
        <f>IF(OR(O59=0,I59=0),"",T59/I59-1)</f>
        <v/>
      </c>
      <c r="V59" s="18">
        <f>IF(O59=0,"PENDENTE",IF(O59&gt;=5,"COMPLETO","PARCIAL"))</f>
        <v/>
      </c>
    </row>
    <row r="60">
      <c r="A60" s="9" t="inlineStr">
        <is>
          <t>MEP-PEX20</t>
        </is>
      </c>
      <c r="B60" s="10" t="inlineStr">
        <is>
          <t>instalacao</t>
        </is>
      </c>
      <c r="C60" s="11" t="inlineStr">
        <is>
          <t>Tubo PEX DN20 agua fria, pela parede a 400 mm</t>
        </is>
      </c>
      <c r="D60" s="10" t="inlineStr">
        <is>
          <t>m</t>
        </is>
      </c>
      <c r="E60" s="12" t="n">
        <v>124.2</v>
      </c>
      <c r="F60" s="13" t="n">
        <v>0</v>
      </c>
      <c r="G60" s="14">
        <f>E60*(1+F60)</f>
        <v/>
      </c>
      <c r="H60" s="15" t="n">
        <v>9.800000000000001</v>
      </c>
      <c r="I60" s="16">
        <f>G60*H60</f>
        <v/>
      </c>
      <c r="J60" s="17" t="n"/>
      <c r="K60" s="17" t="n"/>
      <c r="L60" s="17" t="n"/>
      <c r="M60" s="17" t="n"/>
      <c r="N60" s="17" t="n"/>
      <c r="O60" s="18">
        <f>COUNT(J60:N60)</f>
        <v/>
      </c>
      <c r="P60" s="19">
        <f>IF(O60=0,"",MIN(J60:N60))</f>
        <v/>
      </c>
      <c r="Q60" s="10">
        <f>IF(O60=0,"",INDEX($J$3:$N$3,MATCH(P60,J60:N60,0)))</f>
        <v/>
      </c>
      <c r="R60" s="16">
        <f>IF(O60=0,"",AVERAGE(J60:N60))</f>
        <v/>
      </c>
      <c r="S60" s="20">
        <f>IF(O60&lt;2,"",MAX(J60:N60)/P60)</f>
        <v/>
      </c>
      <c r="T60" s="19">
        <f>IF(O60=0,"",G60*P60)</f>
        <v/>
      </c>
      <c r="U60" s="21">
        <f>IF(OR(O60=0,I60=0),"",T60/I60-1)</f>
        <v/>
      </c>
      <c r="V60" s="18">
        <f>IF(O60=0,"PENDENTE",IF(O60&gt;=5,"COMPLETO","PARCIAL"))</f>
        <v/>
      </c>
    </row>
    <row r="61">
      <c r="A61" s="9" t="inlineStr">
        <is>
          <t>MEP-ESGO40</t>
        </is>
      </c>
      <c r="B61" s="10" t="inlineStr">
        <is>
          <t>instalacao</t>
        </is>
      </c>
      <c r="C61" s="11" t="inlineStr">
        <is>
          <t>Tubo esgoto DN40</t>
        </is>
      </c>
      <c r="D61" s="10" t="inlineStr">
        <is>
          <t>m</t>
        </is>
      </c>
      <c r="E61" s="12" t="n">
        <v>46.7</v>
      </c>
      <c r="F61" s="13" t="n">
        <v>0</v>
      </c>
      <c r="G61" s="14">
        <f>E61*(1+F61)</f>
        <v/>
      </c>
      <c r="H61" s="15" t="n">
        <v>26</v>
      </c>
      <c r="I61" s="16">
        <f>G61*H61</f>
        <v/>
      </c>
      <c r="J61" s="17" t="n"/>
      <c r="K61" s="17" t="n"/>
      <c r="L61" s="17" t="n"/>
      <c r="M61" s="17" t="n"/>
      <c r="N61" s="17" t="n"/>
      <c r="O61" s="18">
        <f>COUNT(J61:N61)</f>
        <v/>
      </c>
      <c r="P61" s="19">
        <f>IF(O61=0,"",MIN(J61:N61))</f>
        <v/>
      </c>
      <c r="Q61" s="10">
        <f>IF(O61=0,"",INDEX($J$3:$N$3,MATCH(P61,J61:N61,0)))</f>
        <v/>
      </c>
      <c r="R61" s="16">
        <f>IF(O61=0,"",AVERAGE(J61:N61))</f>
        <v/>
      </c>
      <c r="S61" s="20">
        <f>IF(O61&lt;2,"",MAX(J61:N61)/P61)</f>
        <v/>
      </c>
      <c r="T61" s="19">
        <f>IF(O61=0,"",G61*P61)</f>
        <v/>
      </c>
      <c r="U61" s="21">
        <f>IF(OR(O61=0,I61=0),"",T61/I61-1)</f>
        <v/>
      </c>
      <c r="V61" s="18">
        <f>IF(O61=0,"PENDENTE",IF(O61&gt;=5,"COMPLETO","PARCIAL"))</f>
        <v/>
      </c>
    </row>
    <row r="62">
      <c r="A62" s="9" t="inlineStr">
        <is>
          <t>MEP-ESGO100</t>
        </is>
      </c>
      <c r="B62" s="10" t="inlineStr">
        <is>
          <t>instalacao</t>
        </is>
      </c>
      <c r="C62" s="11" t="inlineStr">
        <is>
          <t>Tubo esgoto DN100</t>
        </is>
      </c>
      <c r="D62" s="10" t="inlineStr">
        <is>
          <t>m</t>
        </is>
      </c>
      <c r="E62" s="12" t="n">
        <v>36</v>
      </c>
      <c r="F62" s="13" t="n">
        <v>0</v>
      </c>
      <c r="G62" s="14">
        <f>E62*(1+F62)</f>
        <v/>
      </c>
      <c r="H62" s="15" t="n">
        <v>26</v>
      </c>
      <c r="I62" s="16">
        <f>G62*H62</f>
        <v/>
      </c>
      <c r="J62" s="17" t="n"/>
      <c r="K62" s="17" t="n"/>
      <c r="L62" s="17" t="n"/>
      <c r="M62" s="17" t="n"/>
      <c r="N62" s="17" t="n"/>
      <c r="O62" s="18">
        <f>COUNT(J62:N62)</f>
        <v/>
      </c>
      <c r="P62" s="19">
        <f>IF(O62=0,"",MIN(J62:N62))</f>
        <v/>
      </c>
      <c r="Q62" s="10">
        <f>IF(O62=0,"",INDEX($J$3:$N$3,MATCH(P62,J62:N62,0)))</f>
        <v/>
      </c>
      <c r="R62" s="16">
        <f>IF(O62=0,"",AVERAGE(J62:N62))</f>
        <v/>
      </c>
      <c r="S62" s="20">
        <f>IF(O62&lt;2,"",MAX(J62:N62)/P62)</f>
        <v/>
      </c>
      <c r="T62" s="19">
        <f>IF(O62=0,"",G62*P62)</f>
        <v/>
      </c>
      <c r="U62" s="21">
        <f>IF(OR(O62=0,I62=0),"",T62/I62-1)</f>
        <v/>
      </c>
      <c r="V62" s="18">
        <f>IF(O62=0,"PENDENTE",IF(O62&gt;=5,"COMPLETO","PARCIAL"))</f>
        <v/>
      </c>
    </row>
    <row r="63">
      <c r="A63" s="9" t="inlineStr">
        <is>
          <t>MEP-AGUA20</t>
        </is>
      </c>
      <c r="B63" s="10" t="inlineStr">
        <is>
          <t>instalacao</t>
        </is>
      </c>
      <c r="C63" s="11" t="inlineStr">
        <is>
          <t>Tubo agua quente DN20</t>
        </is>
      </c>
      <c r="D63" s="10" t="inlineStr">
        <is>
          <t>m</t>
        </is>
      </c>
      <c r="E63" s="12" t="n">
        <v>42</v>
      </c>
      <c r="F63" s="13" t="n">
        <v>0</v>
      </c>
      <c r="G63" s="14">
        <f>E63*(1+F63)</f>
        <v/>
      </c>
      <c r="H63" s="15" t="n">
        <v>18</v>
      </c>
      <c r="I63" s="16">
        <f>G63*H63</f>
        <v/>
      </c>
      <c r="J63" s="17" t="n"/>
      <c r="K63" s="17" t="n"/>
      <c r="L63" s="17" t="n"/>
      <c r="M63" s="17" t="n"/>
      <c r="N63" s="17" t="n"/>
      <c r="O63" s="18">
        <f>COUNT(J63:N63)</f>
        <v/>
      </c>
      <c r="P63" s="19">
        <f>IF(O63=0,"",MIN(J63:N63))</f>
        <v/>
      </c>
      <c r="Q63" s="10">
        <f>IF(O63=0,"",INDEX($J$3:$N$3,MATCH(P63,J63:N63,0)))</f>
        <v/>
      </c>
      <c r="R63" s="16">
        <f>IF(O63=0,"",AVERAGE(J63:N63))</f>
        <v/>
      </c>
      <c r="S63" s="20">
        <f>IF(O63&lt;2,"",MAX(J63:N63)/P63)</f>
        <v/>
      </c>
      <c r="T63" s="19">
        <f>IF(O63=0,"",G63*P63)</f>
        <v/>
      </c>
      <c r="U63" s="21">
        <f>IF(OR(O63=0,I63=0),"",T63/I63-1)</f>
        <v/>
      </c>
      <c r="V63" s="18">
        <f>IF(O63=0,"PENDENTE",IF(O63&gt;=5,"COMPLETO","PARCIAL"))</f>
        <v/>
      </c>
    </row>
    <row r="64">
      <c r="A64" s="9" t="inlineStr">
        <is>
          <t>FIX-09</t>
        </is>
      </c>
      <c r="B64" s="10" t="inlineStr">
        <is>
          <t>instalacao</t>
        </is>
      </c>
      <c r="C64" s="11" t="inlineStr">
        <is>
          <t>Caixa 4x4 octogonal</t>
        </is>
      </c>
      <c r="D64" s="10" t="inlineStr">
        <is>
          <t>un</t>
        </is>
      </c>
      <c r="E64" s="12" t="n">
        <v>111</v>
      </c>
      <c r="F64" s="13" t="n">
        <v>0</v>
      </c>
      <c r="G64" s="14">
        <f>E64*(1+F64)</f>
        <v/>
      </c>
      <c r="H64" s="15" t="n">
        <v>6.2</v>
      </c>
      <c r="I64" s="16">
        <f>G64*H64</f>
        <v/>
      </c>
      <c r="J64" s="17" t="n"/>
      <c r="K64" s="17" t="n"/>
      <c r="L64" s="17" t="n"/>
      <c r="M64" s="17" t="n"/>
      <c r="N64" s="17" t="n"/>
      <c r="O64" s="18">
        <f>COUNT(J64:N64)</f>
        <v/>
      </c>
      <c r="P64" s="19">
        <f>IF(O64=0,"",MIN(J64:N64))</f>
        <v/>
      </c>
      <c r="Q64" s="10">
        <f>IF(O64=0,"",INDEX($J$3:$N$3,MATCH(P64,J64:N64,0)))</f>
        <v/>
      </c>
      <c r="R64" s="16">
        <f>IF(O64=0,"",AVERAGE(J64:N64))</f>
        <v/>
      </c>
      <c r="S64" s="20">
        <f>IF(O64&lt;2,"",MAX(J64:N64)/P64)</f>
        <v/>
      </c>
      <c r="T64" s="19">
        <f>IF(O64=0,"",G64*P64)</f>
        <v/>
      </c>
      <c r="U64" s="21">
        <f>IF(OR(O64=0,I64=0),"",T64/I64-1)</f>
        <v/>
      </c>
      <c r="V64" s="18">
        <f>IF(O64=0,"PENDENTE",IF(O64&gt;=5,"COMPLETO","PARCIAL"))</f>
        <v/>
      </c>
    </row>
    <row r="65">
      <c r="A65" s="9" t="inlineStr">
        <is>
          <t>FIX-05</t>
        </is>
      </c>
      <c r="B65" s="10" t="inlineStr">
        <is>
          <t>instalacao</t>
        </is>
      </c>
      <c r="C65" s="11" t="inlineStr">
        <is>
          <t>Barra de fixacao entre montantes + joelho de transicao (peca)</t>
        </is>
      </c>
      <c r="D65" s="10" t="inlineStr">
        <is>
          <t>un</t>
        </is>
      </c>
      <c r="E65" s="12" t="n">
        <v>21</v>
      </c>
      <c r="F65" s="13" t="n">
        <v>0</v>
      </c>
      <c r="G65" s="14">
        <f>E65*(1+F65)</f>
        <v/>
      </c>
      <c r="H65" s="15" t="n">
        <v>28</v>
      </c>
      <c r="I65" s="16">
        <f>G65*H65</f>
        <v/>
      </c>
      <c r="J65" s="17" t="n"/>
      <c r="K65" s="17" t="n"/>
      <c r="L65" s="17" t="n"/>
      <c r="M65" s="17" t="n"/>
      <c r="N65" s="17" t="n"/>
      <c r="O65" s="18">
        <f>COUNT(J65:N65)</f>
        <v/>
      </c>
      <c r="P65" s="19">
        <f>IF(O65=0,"",MIN(J65:N65))</f>
        <v/>
      </c>
      <c r="Q65" s="10">
        <f>IF(O65=0,"",INDEX($J$3:$N$3,MATCH(P65,J65:N65,0)))</f>
        <v/>
      </c>
      <c r="R65" s="16">
        <f>IF(O65=0,"",AVERAGE(J65:N65))</f>
        <v/>
      </c>
      <c r="S65" s="20">
        <f>IF(O65&lt;2,"",MAX(J65:N65)/P65)</f>
        <v/>
      </c>
      <c r="T65" s="19">
        <f>IF(O65=0,"",G65*P65)</f>
        <v/>
      </c>
      <c r="U65" s="21">
        <f>IF(OR(O65=0,I65=0),"",T65/I65-1)</f>
        <v/>
      </c>
      <c r="V65" s="18">
        <f>IF(O65=0,"PENDENTE",IF(O65&gt;=5,"COMPLETO","PARCIAL"))</f>
        <v/>
      </c>
    </row>
    <row r="66">
      <c r="A66" s="9" t="inlineStr">
        <is>
          <t>FIX-07</t>
        </is>
      </c>
      <c r="B66" s="10" t="inlineStr">
        <is>
          <t>instalacao</t>
        </is>
      </c>
      <c r="C66" s="11" t="inlineStr">
        <is>
          <t>Caixa 4x2</t>
        </is>
      </c>
      <c r="D66" s="10" t="inlineStr">
        <is>
          <t>un</t>
        </is>
      </c>
      <c r="E66" s="12" t="n">
        <v>118</v>
      </c>
      <c r="F66" s="13" t="n">
        <v>0</v>
      </c>
      <c r="G66" s="14">
        <f>E66*(1+F66)</f>
        <v/>
      </c>
      <c r="H66" s="15" t="n">
        <v>4.8</v>
      </c>
      <c r="I66" s="16">
        <f>G66*H66</f>
        <v/>
      </c>
      <c r="J66" s="17" t="n"/>
      <c r="K66" s="17" t="n"/>
      <c r="L66" s="17" t="n"/>
      <c r="M66" s="17" t="n"/>
      <c r="N66" s="17" t="n"/>
      <c r="O66" s="18">
        <f>COUNT(J66:N66)</f>
        <v/>
      </c>
      <c r="P66" s="19">
        <f>IF(O66=0,"",MIN(J66:N66))</f>
        <v/>
      </c>
      <c r="Q66" s="10">
        <f>IF(O66=0,"",INDEX($J$3:$N$3,MATCH(P66,J66:N66,0)))</f>
        <v/>
      </c>
      <c r="R66" s="16">
        <f>IF(O66=0,"",AVERAGE(J66:N66))</f>
        <v/>
      </c>
      <c r="S66" s="20">
        <f>IF(O66&lt;2,"",MAX(J66:N66)/P66)</f>
        <v/>
      </c>
      <c r="T66" s="19">
        <f>IF(O66=0,"",G66*P66)</f>
        <v/>
      </c>
      <c r="U66" s="21">
        <f>IF(OR(O66=0,I66=0),"",T66/I66-1)</f>
        <v/>
      </c>
      <c r="V66" s="18">
        <f>IF(O66=0,"PENDENTE",IF(O66&gt;=5,"COMPLETO","PARCIAL"))</f>
        <v/>
      </c>
    </row>
    <row r="67">
      <c r="A67" s="9" t="inlineStr">
        <is>
          <t>FIX-15</t>
        </is>
      </c>
      <c r="B67" s="10" t="inlineStr">
        <is>
          <t>instalacao</t>
        </is>
      </c>
      <c r="C67" s="11" t="inlineStr">
        <is>
          <t>Luva de protecao no furo de 32 mm (montante atravessado)</t>
        </is>
      </c>
      <c r="D67" s="10" t="inlineStr">
        <is>
          <t>un</t>
        </is>
      </c>
      <c r="E67" s="12" t="n">
        <v>304</v>
      </c>
      <c r="F67" s="13" t="n">
        <v>0</v>
      </c>
      <c r="G67" s="14">
        <f>E67*(1+F67)</f>
        <v/>
      </c>
      <c r="H67" s="15" t="n">
        <v>1.5</v>
      </c>
      <c r="I67" s="16">
        <f>G67*H67</f>
        <v/>
      </c>
      <c r="J67" s="17" t="n"/>
      <c r="K67" s="17" t="n"/>
      <c r="L67" s="17" t="n"/>
      <c r="M67" s="17" t="n"/>
      <c r="N67" s="17" t="n"/>
      <c r="O67" s="18">
        <f>COUNT(J67:N67)</f>
        <v/>
      </c>
      <c r="P67" s="19">
        <f>IF(O67=0,"",MIN(J67:N67))</f>
        <v/>
      </c>
      <c r="Q67" s="10">
        <f>IF(O67=0,"",INDEX($J$3:$N$3,MATCH(P67,J67:N67,0)))</f>
        <v/>
      </c>
      <c r="R67" s="16">
        <f>IF(O67=0,"",AVERAGE(J67:N67))</f>
        <v/>
      </c>
      <c r="S67" s="20">
        <f>IF(O67&lt;2,"",MAX(J67:N67)/P67)</f>
        <v/>
      </c>
      <c r="T67" s="19">
        <f>IF(O67=0,"",G67*P67)</f>
        <v/>
      </c>
      <c r="U67" s="21">
        <f>IF(OR(O67=0,I67=0),"",T67/I67-1)</f>
        <v/>
      </c>
      <c r="V67" s="18">
        <f>IF(O67=0,"PENDENTE",IF(O67&gt;=5,"COMPLETO","PARCIAL"))</f>
        <v/>
      </c>
    </row>
    <row r="68">
      <c r="A68" s="9" t="inlineStr">
        <is>
          <t>FIX-01</t>
        </is>
      </c>
      <c r="B68" s="10" t="inlineStr">
        <is>
          <t>instalacao</t>
        </is>
      </c>
      <c r="C68" s="11" t="inlineStr">
        <is>
          <t>Abracadeira de eletroduto no forro/entrepiso (a cada 1.000 mm)</t>
        </is>
      </c>
      <c r="D68" s="10" t="inlineStr">
        <is>
          <t>un</t>
        </is>
      </c>
      <c r="E68" s="12" t="n">
        <v>162</v>
      </c>
      <c r="F68" s="13" t="n">
        <v>0</v>
      </c>
      <c r="G68" s="14">
        <f>E68*(1+F68)</f>
        <v/>
      </c>
      <c r="H68" s="15" t="n">
        <v>2.5</v>
      </c>
      <c r="I68" s="16">
        <f>G68*H68</f>
        <v/>
      </c>
      <c r="J68" s="17" t="n"/>
      <c r="K68" s="17" t="n"/>
      <c r="L68" s="17" t="n"/>
      <c r="M68" s="17" t="n"/>
      <c r="N68" s="17" t="n"/>
      <c r="O68" s="18">
        <f>COUNT(J68:N68)</f>
        <v/>
      </c>
      <c r="P68" s="19">
        <f>IF(O68=0,"",MIN(J68:N68))</f>
        <v/>
      </c>
      <c r="Q68" s="10">
        <f>IF(O68=0,"",INDEX($J$3:$N$3,MATCH(P68,J68:N68,0)))</f>
        <v/>
      </c>
      <c r="R68" s="16">
        <f>IF(O68=0,"",AVERAGE(J68:N68))</f>
        <v/>
      </c>
      <c r="S68" s="20">
        <f>IF(O68&lt;2,"",MAX(J68:N68)/P68)</f>
        <v/>
      </c>
      <c r="T68" s="19">
        <f>IF(O68=0,"",G68*P68)</f>
        <v/>
      </c>
      <c r="U68" s="21">
        <f>IF(OR(O68=0,I68=0),"",T68/I68-1)</f>
        <v/>
      </c>
      <c r="V68" s="18">
        <f>IF(O68=0,"PENDENTE",IF(O68&gt;=5,"COMPLETO","PARCIAL"))</f>
        <v/>
      </c>
    </row>
    <row r="69">
      <c r="A69" s="9" t="inlineStr">
        <is>
          <t>MEP-DRENO</t>
        </is>
      </c>
      <c r="B69" s="10" t="inlineStr">
        <is>
          <t>instalacao</t>
        </is>
      </c>
      <c r="C69" s="11" t="inlineStr">
        <is>
          <t>Dreno de condensado</t>
        </is>
      </c>
      <c r="D69" s="10" t="inlineStr">
        <is>
          <t>m</t>
        </is>
      </c>
      <c r="E69" s="12" t="n">
        <v>44.8</v>
      </c>
      <c r="F69" s="13" t="n">
        <v>0</v>
      </c>
      <c r="G69" s="14">
        <f>E69*(1+F69)</f>
        <v/>
      </c>
      <c r="H69" s="15" t="n">
        <v>9</v>
      </c>
      <c r="I69" s="16">
        <f>G69*H69</f>
        <v/>
      </c>
      <c r="J69" s="17" t="n"/>
      <c r="K69" s="17" t="n"/>
      <c r="L69" s="17" t="n"/>
      <c r="M69" s="17" t="n"/>
      <c r="N69" s="17" t="n"/>
      <c r="O69" s="18">
        <f>COUNT(J69:N69)</f>
        <v/>
      </c>
      <c r="P69" s="19">
        <f>IF(O69=0,"",MIN(J69:N69))</f>
        <v/>
      </c>
      <c r="Q69" s="10">
        <f>IF(O69=0,"",INDEX($J$3:$N$3,MATCH(P69,J69:N69,0)))</f>
        <v/>
      </c>
      <c r="R69" s="16">
        <f>IF(O69=0,"",AVERAGE(J69:N69))</f>
        <v/>
      </c>
      <c r="S69" s="20">
        <f>IF(O69&lt;2,"",MAX(J69:N69)/P69)</f>
        <v/>
      </c>
      <c r="T69" s="19">
        <f>IF(O69=0,"",G69*P69)</f>
        <v/>
      </c>
      <c r="U69" s="21">
        <f>IF(OR(O69=0,I69=0),"",T69/I69-1)</f>
        <v/>
      </c>
      <c r="V69" s="18">
        <f>IF(O69=0,"PENDENTE",IF(O69&gt;=5,"COMPLETO","PARCIAL"))</f>
        <v/>
      </c>
    </row>
    <row r="70">
      <c r="A70" s="9" t="inlineStr">
        <is>
          <t>FIX-08</t>
        </is>
      </c>
      <c r="B70" s="10" t="inlineStr">
        <is>
          <t>instalacao</t>
        </is>
      </c>
      <c r="C70" s="11" t="inlineStr">
        <is>
          <t>Caixa 4x4</t>
        </is>
      </c>
      <c r="D70" s="10" t="inlineStr">
        <is>
          <t>un</t>
        </is>
      </c>
      <c r="E70" s="12" t="n">
        <v>39</v>
      </c>
      <c r="F70" s="13" t="n">
        <v>0</v>
      </c>
      <c r="G70" s="14">
        <f>E70*(1+F70)</f>
        <v/>
      </c>
      <c r="H70" s="15" t="n">
        <v>6.2</v>
      </c>
      <c r="I70" s="16">
        <f>G70*H70</f>
        <v/>
      </c>
      <c r="J70" s="17" t="n"/>
      <c r="K70" s="17" t="n"/>
      <c r="L70" s="17" t="n"/>
      <c r="M70" s="17" t="n"/>
      <c r="N70" s="17" t="n"/>
      <c r="O70" s="18">
        <f>COUNT(J70:N70)</f>
        <v/>
      </c>
      <c r="P70" s="19">
        <f>IF(O70=0,"",MIN(J70:N70))</f>
        <v/>
      </c>
      <c r="Q70" s="10">
        <f>IF(O70=0,"",INDEX($J$3:$N$3,MATCH(P70,J70:N70,0)))</f>
        <v/>
      </c>
      <c r="R70" s="16">
        <f>IF(O70=0,"",AVERAGE(J70:N70))</f>
        <v/>
      </c>
      <c r="S70" s="20">
        <f>IF(O70&lt;2,"",MAX(J70:N70)/P70)</f>
        <v/>
      </c>
      <c r="T70" s="19">
        <f>IF(O70=0,"",G70*P70)</f>
        <v/>
      </c>
      <c r="U70" s="21">
        <f>IF(OR(O70=0,I70=0),"",T70/I70-1)</f>
        <v/>
      </c>
      <c r="V70" s="18">
        <f>IF(O70=0,"PENDENTE",IF(O70&gt;=5,"COMPLETO","PARCIAL"))</f>
        <v/>
      </c>
    </row>
    <row r="71">
      <c r="A71" s="9" t="inlineStr">
        <is>
          <t>FIX-02</t>
        </is>
      </c>
      <c r="B71" s="10" t="inlineStr">
        <is>
          <t>instalacao</t>
        </is>
      </c>
      <c r="C71" s="11" t="inlineStr">
        <is>
          <t>Abracadeira de linha frigorigena (a cada 1,0 m)</t>
        </is>
      </c>
      <c r="D71" s="10" t="inlineStr">
        <is>
          <t>un</t>
        </is>
      </c>
      <c r="E71" s="12" t="n">
        <v>71</v>
      </c>
      <c r="F71" s="13" t="n">
        <v>0</v>
      </c>
      <c r="G71" s="14">
        <f>E71*(1+F71)</f>
        <v/>
      </c>
      <c r="H71" s="15" t="n">
        <v>3.2</v>
      </c>
      <c r="I71" s="16">
        <f>G71*H71</f>
        <v/>
      </c>
      <c r="J71" s="17" t="n"/>
      <c r="K71" s="17" t="n"/>
      <c r="L71" s="17" t="n"/>
      <c r="M71" s="17" t="n"/>
      <c r="N71" s="17" t="n"/>
      <c r="O71" s="18">
        <f>COUNT(J71:N71)</f>
        <v/>
      </c>
      <c r="P71" s="19">
        <f>IF(O71=0,"",MIN(J71:N71))</f>
        <v/>
      </c>
      <c r="Q71" s="10">
        <f>IF(O71=0,"",INDEX($J$3:$N$3,MATCH(P71,J71:N71,0)))</f>
        <v/>
      </c>
      <c r="R71" s="16">
        <f>IF(O71=0,"",AVERAGE(J71:N71))</f>
        <v/>
      </c>
      <c r="S71" s="20">
        <f>IF(O71&lt;2,"",MAX(J71:N71)/P71)</f>
        <v/>
      </c>
      <c r="T71" s="19">
        <f>IF(O71=0,"",G71*P71)</f>
        <v/>
      </c>
      <c r="U71" s="21">
        <f>IF(OR(O71=0,I71=0),"",T71/I71-1)</f>
        <v/>
      </c>
      <c r="V71" s="18">
        <f>IF(O71=0,"PENDENTE",IF(O71&gt;=5,"COMPLETO","PARCIAL"))</f>
        <v/>
      </c>
    </row>
    <row r="72">
      <c r="A72" s="9" t="inlineStr">
        <is>
          <t>FIX-12</t>
        </is>
      </c>
      <c r="B72" s="10" t="inlineStr">
        <is>
          <t>instalacao</t>
        </is>
      </c>
      <c r="C72" s="11" t="inlineStr">
        <is>
          <t>Clip de PEX no montante (a cada 600 mm)</t>
        </is>
      </c>
      <c r="D72" s="10" t="inlineStr">
        <is>
          <t>un</t>
        </is>
      </c>
      <c r="E72" s="12" t="n">
        <v>273</v>
      </c>
      <c r="F72" s="13" t="n">
        <v>0</v>
      </c>
      <c r="G72" s="14">
        <f>E72*(1+F72)</f>
        <v/>
      </c>
      <c r="H72" s="15" t="n">
        <v>0.8</v>
      </c>
      <c r="I72" s="16">
        <f>G72*H72</f>
        <v/>
      </c>
      <c r="J72" s="17" t="n"/>
      <c r="K72" s="17" t="n"/>
      <c r="L72" s="17" t="n"/>
      <c r="M72" s="17" t="n"/>
      <c r="N72" s="17" t="n"/>
      <c r="O72" s="18">
        <f>COUNT(J72:N72)</f>
        <v/>
      </c>
      <c r="P72" s="19">
        <f>IF(O72=0,"",MIN(J72:N72))</f>
        <v/>
      </c>
      <c r="Q72" s="10">
        <f>IF(O72=0,"",INDEX($J$3:$N$3,MATCH(P72,J72:N72,0)))</f>
        <v/>
      </c>
      <c r="R72" s="16">
        <f>IF(O72=0,"",AVERAGE(J72:N72))</f>
        <v/>
      </c>
      <c r="S72" s="20">
        <f>IF(O72&lt;2,"",MAX(J72:N72)/P72)</f>
        <v/>
      </c>
      <c r="T72" s="19">
        <f>IF(O72=0,"",G72*P72)</f>
        <v/>
      </c>
      <c r="U72" s="21">
        <f>IF(OR(O72=0,I72=0),"",T72/I72-1)</f>
        <v/>
      </c>
      <c r="V72" s="18">
        <f>IF(O72=0,"PENDENTE",IF(O72&gt;=5,"COMPLETO","PARCIAL"))</f>
        <v/>
      </c>
    </row>
    <row r="73">
      <c r="A73" s="9" t="inlineStr">
        <is>
          <t>FIX-14</t>
        </is>
      </c>
      <c r="B73" s="10" t="inlineStr">
        <is>
          <t>instalacao</t>
        </is>
      </c>
      <c r="C73" s="11" t="inlineStr">
        <is>
          <t>Eletroduto PEAD enterrado (m)</t>
        </is>
      </c>
      <c r="D73" s="10" t="inlineStr">
        <is>
          <t>m</t>
        </is>
      </c>
      <c r="E73" s="12" t="n">
        <v>15.3</v>
      </c>
      <c r="F73" s="13" t="n">
        <v>0</v>
      </c>
      <c r="G73" s="14">
        <f>E73*(1+F73)</f>
        <v/>
      </c>
      <c r="H73" s="15" t="n">
        <v>12</v>
      </c>
      <c r="I73" s="16">
        <f>G73*H73</f>
        <v/>
      </c>
      <c r="J73" s="17" t="n"/>
      <c r="K73" s="17" t="n"/>
      <c r="L73" s="17" t="n"/>
      <c r="M73" s="17" t="n"/>
      <c r="N73" s="17" t="n"/>
      <c r="O73" s="18">
        <f>COUNT(J73:N73)</f>
        <v/>
      </c>
      <c r="P73" s="19">
        <f>IF(O73=0,"",MIN(J73:N73))</f>
        <v/>
      </c>
      <c r="Q73" s="10">
        <f>IF(O73=0,"",INDEX($J$3:$N$3,MATCH(P73,J73:N73,0)))</f>
        <v/>
      </c>
      <c r="R73" s="16">
        <f>IF(O73=0,"",AVERAGE(J73:N73))</f>
        <v/>
      </c>
      <c r="S73" s="20">
        <f>IF(O73&lt;2,"",MAX(J73:N73)/P73)</f>
        <v/>
      </c>
      <c r="T73" s="19">
        <f>IF(O73=0,"",G73*P73)</f>
        <v/>
      </c>
      <c r="U73" s="21">
        <f>IF(OR(O73=0,I73=0),"",T73/I73-1)</f>
        <v/>
      </c>
      <c r="V73" s="18">
        <f>IF(O73=0,"PENDENTE",IF(O73&gt;=5,"COMPLETO","PARCIAL"))</f>
        <v/>
      </c>
    </row>
    <row r="74">
      <c r="A74" s="9" t="inlineStr">
        <is>
          <t>FIX-03</t>
        </is>
      </c>
      <c r="B74" s="10" t="inlineStr">
        <is>
          <t>instalacao</t>
        </is>
      </c>
      <c r="C74" s="11" t="inlineStr">
        <is>
          <t>Abracadeira isofonica de esgoto no entrepiso (a cada 1,0 m)</t>
        </is>
      </c>
      <c r="D74" s="10" t="inlineStr">
        <is>
          <t>un</t>
        </is>
      </c>
      <c r="E74" s="12" t="n">
        <v>25</v>
      </c>
      <c r="F74" s="13" t="n">
        <v>0</v>
      </c>
      <c r="G74" s="14">
        <f>E74*(1+F74)</f>
        <v/>
      </c>
      <c r="H74" s="15" t="n">
        <v>6.5</v>
      </c>
      <c r="I74" s="16">
        <f>G74*H74</f>
        <v/>
      </c>
      <c r="J74" s="17" t="n"/>
      <c r="K74" s="17" t="n"/>
      <c r="L74" s="17" t="n"/>
      <c r="M74" s="17" t="n"/>
      <c r="N74" s="17" t="n"/>
      <c r="O74" s="18">
        <f>COUNT(J74:N74)</f>
        <v/>
      </c>
      <c r="P74" s="19">
        <f>IF(O74=0,"",MIN(J74:N74))</f>
        <v/>
      </c>
      <c r="Q74" s="10">
        <f>IF(O74=0,"",INDEX($J$3:$N$3,MATCH(P74,J74:N74,0)))</f>
        <v/>
      </c>
      <c r="R74" s="16">
        <f>IF(O74=0,"",AVERAGE(J74:N74))</f>
        <v/>
      </c>
      <c r="S74" s="20">
        <f>IF(O74&lt;2,"",MAX(J74:N74)/P74)</f>
        <v/>
      </c>
      <c r="T74" s="19">
        <f>IF(O74=0,"",G74*P74)</f>
        <v/>
      </c>
      <c r="U74" s="21">
        <f>IF(OR(O74=0,I74=0),"",T74/I74-1)</f>
        <v/>
      </c>
      <c r="V74" s="18">
        <f>IF(O74=0,"PENDENTE",IF(O74&gt;=5,"COMPLETO","PARCIAL"))</f>
        <v/>
      </c>
    </row>
    <row r="75">
      <c r="A75" s="9" t="inlineStr">
        <is>
          <t>FIX-11</t>
        </is>
      </c>
      <c r="B75" s="10" t="inlineStr">
        <is>
          <t>instalacao</t>
        </is>
      </c>
      <c r="C75" s="11" t="inlineStr">
        <is>
          <t>Clip de PEX na subida (a cada 600 mm)</t>
        </is>
      </c>
      <c r="D75" s="10" t="inlineStr">
        <is>
          <t>un</t>
        </is>
      </c>
      <c r="E75" s="12" t="n">
        <v>30</v>
      </c>
      <c r="F75" s="13" t="n">
        <v>0</v>
      </c>
      <c r="G75" s="14">
        <f>E75*(1+F75)</f>
        <v/>
      </c>
      <c r="H75" s="15" t="n">
        <v>0.8</v>
      </c>
      <c r="I75" s="16">
        <f>G75*H75</f>
        <v/>
      </c>
      <c r="J75" s="17" t="n"/>
      <c r="K75" s="17" t="n"/>
      <c r="L75" s="17" t="n"/>
      <c r="M75" s="17" t="n"/>
      <c r="N75" s="17" t="n"/>
      <c r="O75" s="18">
        <f>COUNT(J75:N75)</f>
        <v/>
      </c>
      <c r="P75" s="19">
        <f>IF(O75=0,"",MIN(J75:N75))</f>
        <v/>
      </c>
      <c r="Q75" s="10">
        <f>IF(O75=0,"",INDEX($J$3:$N$3,MATCH(P75,J75:N75,0)))</f>
        <v/>
      </c>
      <c r="R75" s="16">
        <f>IF(O75=0,"",AVERAGE(J75:N75))</f>
        <v/>
      </c>
      <c r="S75" s="20">
        <f>IF(O75&lt;2,"",MAX(J75:N75)/P75)</f>
        <v/>
      </c>
      <c r="T75" s="19">
        <f>IF(O75=0,"",G75*P75)</f>
        <v/>
      </c>
      <c r="U75" s="21">
        <f>IF(OR(O75=0,I75=0),"",T75/I75-1)</f>
        <v/>
      </c>
      <c r="V75" s="18">
        <f>IF(O75=0,"PENDENTE",IF(O75&gt;=5,"COMPLETO","PARCIAL"))</f>
        <v/>
      </c>
    </row>
    <row r="76">
      <c r="A76" s="9" t="inlineStr">
        <is>
          <t>FIX-04</t>
        </is>
      </c>
      <c r="B76" s="10" t="inlineStr">
        <is>
          <t>instalacao</t>
        </is>
      </c>
      <c r="C76" s="11" t="inlineStr">
        <is>
          <t>Arame de amarracao do esgoto a tela do radier (a cada 1,5 m)</t>
        </is>
      </c>
      <c r="D76" s="10" t="inlineStr">
        <is>
          <t>un</t>
        </is>
      </c>
      <c r="E76" s="12" t="n">
        <v>57</v>
      </c>
      <c r="F76" s="13" t="n">
        <v>0</v>
      </c>
      <c r="G76" s="14">
        <f>E76*(1+F76)</f>
        <v/>
      </c>
      <c r="H76" s="15" t="n">
        <v>0.3</v>
      </c>
      <c r="I76" s="16">
        <f>G76*H76</f>
        <v/>
      </c>
      <c r="J76" s="17" t="n"/>
      <c r="K76" s="17" t="n"/>
      <c r="L76" s="17" t="n"/>
      <c r="M76" s="17" t="n"/>
      <c r="N76" s="17" t="n"/>
      <c r="O76" s="18">
        <f>COUNT(J76:N76)</f>
        <v/>
      </c>
      <c r="P76" s="19">
        <f>IF(O76=0,"",MIN(J76:N76))</f>
        <v/>
      </c>
      <c r="Q76" s="10">
        <f>IF(O76=0,"",INDEX($J$3:$N$3,MATCH(P76,J76:N76,0)))</f>
        <v/>
      </c>
      <c r="R76" s="16">
        <f>IF(O76=0,"",AVERAGE(J76:N76))</f>
        <v/>
      </c>
      <c r="S76" s="20">
        <f>IF(O76&lt;2,"",MAX(J76:N76)/P76)</f>
        <v/>
      </c>
      <c r="T76" s="19">
        <f>IF(O76=0,"",G76*P76)</f>
        <v/>
      </c>
      <c r="U76" s="21">
        <f>IF(OR(O76=0,I76=0),"",T76/I76-1)</f>
        <v/>
      </c>
      <c r="V76" s="18">
        <f>IF(O76=0,"PENDENTE",IF(O76&gt;=5,"COMPLETO","PARCIAL"))</f>
        <v/>
      </c>
    </row>
    <row r="77">
      <c r="A77" s="9" t="inlineStr">
        <is>
          <t>PAR-EST</t>
        </is>
      </c>
      <c r="B77" s="10" t="inlineStr">
        <is>
          <t>ligacao</t>
        </is>
      </c>
      <c r="C77" s="11" t="inlineStr">
        <is>
          <t>Parafuso estrutural auto-brocante</t>
        </is>
      </c>
      <c r="D77" s="10" t="inlineStr">
        <is>
          <t>un</t>
        </is>
      </c>
      <c r="E77" s="12" t="n">
        <v>6524</v>
      </c>
      <c r="F77" s="13" t="n">
        <v>0</v>
      </c>
      <c r="G77" s="14">
        <f>E77*(1+F77)</f>
        <v/>
      </c>
      <c r="H77" s="15" t="n">
        <v>0.28</v>
      </c>
      <c r="I77" s="16">
        <f>G77*H77</f>
        <v/>
      </c>
      <c r="J77" s="17" t="n"/>
      <c r="K77" s="17" t="n"/>
      <c r="L77" s="17" t="n"/>
      <c r="M77" s="17" t="n"/>
      <c r="N77" s="17" t="n"/>
      <c r="O77" s="18">
        <f>COUNT(J77:N77)</f>
        <v/>
      </c>
      <c r="P77" s="19">
        <f>IF(O77=0,"",MIN(J77:N77))</f>
        <v/>
      </c>
      <c r="Q77" s="10">
        <f>IF(O77=0,"",INDEX($J$3:$N$3,MATCH(P77,J77:N77,0)))</f>
        <v/>
      </c>
      <c r="R77" s="16">
        <f>IF(O77=0,"",AVERAGE(J77:N77))</f>
        <v/>
      </c>
      <c r="S77" s="20">
        <f>IF(O77&lt;2,"",MAX(J77:N77)/P77)</f>
        <v/>
      </c>
      <c r="T77" s="19">
        <f>IF(O77=0,"",G77*P77)</f>
        <v/>
      </c>
      <c r="U77" s="21">
        <f>IF(OR(O77=0,I77=0),"",T77/I77-1)</f>
        <v/>
      </c>
      <c r="V77" s="18">
        <f>IF(O77=0,"PENDENTE",IF(O77&gt;=5,"COMPLETO","PARCIAL"))</f>
        <v/>
      </c>
    </row>
    <row r="78">
      <c r="A78" s="9" t="inlineStr">
        <is>
          <t>FAC-FASCIA</t>
        </is>
      </c>
      <c r="B78" s="10" t="inlineStr">
        <is>
          <t>fachada</t>
        </is>
      </c>
      <c r="C78" s="11" t="inlineStr">
        <is>
          <t>Fascia de platibanda 450 mm, aluminio grafite dobrado, rufo integrado</t>
        </is>
      </c>
      <c r="D78" s="10" t="inlineStr">
        <is>
          <t>m</t>
        </is>
      </c>
      <c r="E78" s="12" t="n">
        <v>126</v>
      </c>
      <c r="F78" s="13" t="n">
        <v>0</v>
      </c>
      <c r="G78" s="14">
        <f>E78*(1+F78)</f>
        <v/>
      </c>
      <c r="H78" s="15" t="n">
        <v>220</v>
      </c>
      <c r="I78" s="16">
        <f>G78*H78</f>
        <v/>
      </c>
      <c r="J78" s="17" t="n"/>
      <c r="K78" s="17" t="n"/>
      <c r="L78" s="17" t="n"/>
      <c r="M78" s="17" t="n"/>
      <c r="N78" s="17" t="n"/>
      <c r="O78" s="18">
        <f>COUNT(J78:N78)</f>
        <v/>
      </c>
      <c r="P78" s="19">
        <f>IF(O78=0,"",MIN(J78:N78))</f>
        <v/>
      </c>
      <c r="Q78" s="10">
        <f>IF(O78=0,"",INDEX($J$3:$N$3,MATCH(P78,J78:N78,0)))</f>
        <v/>
      </c>
      <c r="R78" s="16">
        <f>IF(O78=0,"",AVERAGE(J78:N78))</f>
        <v/>
      </c>
      <c r="S78" s="20">
        <f>IF(O78&lt;2,"",MAX(J78:N78)/P78)</f>
        <v/>
      </c>
      <c r="T78" s="19">
        <f>IF(O78=0,"",G78*P78)</f>
        <v/>
      </c>
      <c r="U78" s="21">
        <f>IF(OR(O78=0,I78=0),"",T78/I78-1)</f>
        <v/>
      </c>
      <c r="V78" s="18">
        <f>IF(O78=0,"PENDENTE",IF(O78&gt;=5,"COMPLETO","PARCIAL"))</f>
        <v/>
      </c>
    </row>
    <row r="79">
      <c r="A79" s="9" t="inlineStr">
        <is>
          <t>FAC-MINERAL</t>
        </is>
      </c>
      <c r="B79" s="10" t="inlineStr">
        <is>
          <t>fachada</t>
        </is>
      </c>
      <c r="C79" s="11" t="inlineStr">
        <is>
          <t>Acrescimo: placa cimenticia com revestimento mineral de fabrica, junta seca 6 mm</t>
        </is>
      </c>
      <c r="D79" s="10" t="inlineStr">
        <is>
          <t>m2</t>
        </is>
      </c>
      <c r="E79" s="12" t="n">
        <v>217.3</v>
      </c>
      <c r="F79" s="13" t="n">
        <v>0</v>
      </c>
      <c r="G79" s="14">
        <f>E79*(1+F79)</f>
        <v/>
      </c>
      <c r="H79" s="15" t="n">
        <v>88</v>
      </c>
      <c r="I79" s="16">
        <f>G79*H79</f>
        <v/>
      </c>
      <c r="J79" s="17" t="n"/>
      <c r="K79" s="17" t="n"/>
      <c r="L79" s="17" t="n"/>
      <c r="M79" s="17" t="n"/>
      <c r="N79" s="17" t="n"/>
      <c r="O79" s="18">
        <f>COUNT(J79:N79)</f>
        <v/>
      </c>
      <c r="P79" s="19">
        <f>IF(O79=0,"",MIN(J79:N79))</f>
        <v/>
      </c>
      <c r="Q79" s="10">
        <f>IF(O79=0,"",INDEX($J$3:$N$3,MATCH(P79,J79:N79,0)))</f>
        <v/>
      </c>
      <c r="R79" s="16">
        <f>IF(O79=0,"",AVERAGE(J79:N79))</f>
        <v/>
      </c>
      <c r="S79" s="20">
        <f>IF(O79&lt;2,"",MAX(J79:N79)/P79)</f>
        <v/>
      </c>
      <c r="T79" s="19">
        <f>IF(O79=0,"",G79*P79)</f>
        <v/>
      </c>
      <c r="U79" s="21">
        <f>IF(OR(O79=0,I79=0),"",T79/I79-1)</f>
        <v/>
      </c>
      <c r="V79" s="18">
        <f>IF(O79=0,"PENDENTE",IF(O79&gt;=5,"COMPLETO","PARCIAL"))</f>
        <v/>
      </c>
    </row>
    <row r="80">
      <c r="A80" s="9" t="inlineStr">
        <is>
          <t>BRI-RIPA</t>
        </is>
      </c>
      <c r="B80" s="10" t="inlineStr">
        <is>
          <t>fachada</t>
        </is>
      </c>
      <c r="C80" s="11" t="inlineStr">
        <is>
          <t>Ripa de fachada: tubular de aluminio 50 x 20 x 1,2 mm</t>
        </is>
      </c>
      <c r="D80" s="10" t="inlineStr">
        <is>
          <t>m</t>
        </is>
      </c>
      <c r="E80" s="12" t="n">
        <v>375</v>
      </c>
      <c r="F80" s="13" t="n">
        <v>0</v>
      </c>
      <c r="G80" s="14">
        <f>E80*(1+F80)</f>
        <v/>
      </c>
      <c r="H80" s="15" t="n">
        <v>42</v>
      </c>
      <c r="I80" s="16">
        <f>G80*H80</f>
        <v/>
      </c>
      <c r="J80" s="17" t="n"/>
      <c r="K80" s="17" t="n"/>
      <c r="L80" s="17" t="n"/>
      <c r="M80" s="17" t="n"/>
      <c r="N80" s="17" t="n"/>
      <c r="O80" s="18">
        <f>COUNT(J80:N80)</f>
        <v/>
      </c>
      <c r="P80" s="19">
        <f>IF(O80=0,"",MIN(J80:N80))</f>
        <v/>
      </c>
      <c r="Q80" s="10">
        <f>IF(O80=0,"",INDEX($J$3:$N$3,MATCH(P80,J80:N80,0)))</f>
        <v/>
      </c>
      <c r="R80" s="16">
        <f>IF(O80=0,"",AVERAGE(J80:N80))</f>
        <v/>
      </c>
      <c r="S80" s="20">
        <f>IF(O80&lt;2,"",MAX(J80:N80)/P80)</f>
        <v/>
      </c>
      <c r="T80" s="19">
        <f>IF(O80=0,"",G80*P80)</f>
        <v/>
      </c>
      <c r="U80" s="21">
        <f>IF(OR(O80=0,I80=0),"",T80/I80-1)</f>
        <v/>
      </c>
      <c r="V80" s="18">
        <f>IF(O80=0,"PENDENTE",IF(O80&gt;=5,"COMPLETO","PARCIAL"))</f>
        <v/>
      </c>
    </row>
    <row r="81">
      <c r="A81" s="9" t="inlineStr">
        <is>
          <t>FAC-BASE</t>
        </is>
      </c>
      <c r="B81" s="10" t="inlineStr">
        <is>
          <t>fachada</t>
        </is>
      </c>
      <c r="C81" s="11" t="inlineStr">
        <is>
          <t>Basecoat de regularizacao sobre placa cimenticia</t>
        </is>
      </c>
      <c r="D81" s="10" t="inlineStr">
        <is>
          <t>m2</t>
        </is>
      </c>
      <c r="E81" s="12" t="n">
        <v>183.4</v>
      </c>
      <c r="F81" s="13" t="n">
        <v>0</v>
      </c>
      <c r="G81" s="14">
        <f>E81*(1+F81)</f>
        <v/>
      </c>
      <c r="H81" s="15" t="n">
        <v>34</v>
      </c>
      <c r="I81" s="16">
        <f>G81*H81</f>
        <v/>
      </c>
      <c r="J81" s="17" t="n"/>
      <c r="K81" s="17" t="n"/>
      <c r="L81" s="17" t="n"/>
      <c r="M81" s="17" t="n"/>
      <c r="N81" s="17" t="n"/>
      <c r="O81" s="18">
        <f>COUNT(J81:N81)</f>
        <v/>
      </c>
      <c r="P81" s="19">
        <f>IF(O81=0,"",MIN(J81:N81))</f>
        <v/>
      </c>
      <c r="Q81" s="10">
        <f>IF(O81=0,"",INDEX($J$3:$N$3,MATCH(P81,J81:N81,0)))</f>
        <v/>
      </c>
      <c r="R81" s="16">
        <f>IF(O81=0,"",AVERAGE(J81:N81))</f>
        <v/>
      </c>
      <c r="S81" s="20">
        <f>IF(O81&lt;2,"",MAX(J81:N81)/P81)</f>
        <v/>
      </c>
      <c r="T81" s="19">
        <f>IF(O81=0,"",G81*P81)</f>
        <v/>
      </c>
      <c r="U81" s="21">
        <f>IF(OR(O81=0,I81=0),"",T81/I81-1)</f>
        <v/>
      </c>
      <c r="V81" s="18">
        <f>IF(O81=0,"PENDENTE",IF(O81&gt;=5,"COMPLETO","PARCIAL"))</f>
        <v/>
      </c>
    </row>
    <row r="82">
      <c r="A82" s="9" t="inlineStr">
        <is>
          <t>FAC-MAO</t>
        </is>
      </c>
      <c r="B82" s="10" t="inlineStr">
        <is>
          <t>fachada</t>
        </is>
      </c>
      <c r="C82" s="11" t="inlineStr">
        <is>
          <t>Mao de obra de fachada (basecoat, tela, junta e pintura)</t>
        </is>
      </c>
      <c r="D82" s="10" t="inlineStr">
        <is>
          <t>m2</t>
        </is>
      </c>
      <c r="E82" s="12" t="n">
        <v>183.4</v>
      </c>
      <c r="F82" s="13" t="n">
        <v>0</v>
      </c>
      <c r="G82" s="14">
        <f>E82*(1+F82)</f>
        <v/>
      </c>
      <c r="H82" s="15" t="n">
        <v>34</v>
      </c>
      <c r="I82" s="16">
        <f>G82*H82</f>
        <v/>
      </c>
      <c r="J82" s="17" t="n"/>
      <c r="K82" s="17" t="n"/>
      <c r="L82" s="17" t="n"/>
      <c r="M82" s="17" t="n"/>
      <c r="N82" s="17" t="n"/>
      <c r="O82" s="18">
        <f>COUNT(J82:N82)</f>
        <v/>
      </c>
      <c r="P82" s="19">
        <f>IF(O82=0,"",MIN(J82:N82))</f>
        <v/>
      </c>
      <c r="Q82" s="10">
        <f>IF(O82=0,"",INDEX($J$3:$N$3,MATCH(P82,J82:N82,0)))</f>
        <v/>
      </c>
      <c r="R82" s="16">
        <f>IF(O82=0,"",AVERAGE(J82:N82))</f>
        <v/>
      </c>
      <c r="S82" s="20">
        <f>IF(O82&lt;2,"",MAX(J82:N82)/P82)</f>
        <v/>
      </c>
      <c r="T82" s="19">
        <f>IF(O82=0,"",G82*P82)</f>
        <v/>
      </c>
      <c r="U82" s="21">
        <f>IF(OR(O82=0,I82=0),"",T82/I82-1)</f>
        <v/>
      </c>
      <c r="V82" s="18">
        <f>IF(O82=0,"PENDENTE",IF(O82&gt;=5,"COMPLETO","PARCIAL"))</f>
        <v/>
      </c>
    </row>
    <row r="83">
      <c r="A83" s="9" t="inlineStr">
        <is>
          <t>FAC-JUNTA-SECA</t>
        </is>
      </c>
      <c r="B83" s="10" t="inlineStr">
        <is>
          <t>fachada</t>
        </is>
      </c>
      <c r="C83" s="11" t="inlineStr">
        <is>
          <t>Junta seca: perfil EPDM e fundo de junta</t>
        </is>
      </c>
      <c r="D83" s="10" t="inlineStr">
        <is>
          <t>m</t>
        </is>
      </c>
      <c r="E83" s="12" t="n">
        <v>271.7</v>
      </c>
      <c r="F83" s="13" t="n">
        <v>0</v>
      </c>
      <c r="G83" s="14">
        <f>E83*(1+F83)</f>
        <v/>
      </c>
      <c r="H83" s="15" t="n">
        <v>22</v>
      </c>
      <c r="I83" s="16">
        <f>G83*H83</f>
        <v/>
      </c>
      <c r="J83" s="17" t="n"/>
      <c r="K83" s="17" t="n"/>
      <c r="L83" s="17" t="n"/>
      <c r="M83" s="17" t="n"/>
      <c r="N83" s="17" t="n"/>
      <c r="O83" s="18">
        <f>COUNT(J83:N83)</f>
        <v/>
      </c>
      <c r="P83" s="19">
        <f>IF(O83=0,"",MIN(J83:N83))</f>
        <v/>
      </c>
      <c r="Q83" s="10">
        <f>IF(O83=0,"",INDEX($J$3:$N$3,MATCH(P83,J83:N83,0)))</f>
        <v/>
      </c>
      <c r="R83" s="16">
        <f>IF(O83=0,"",AVERAGE(J83:N83))</f>
        <v/>
      </c>
      <c r="S83" s="20">
        <f>IF(O83&lt;2,"",MAX(J83:N83)/P83)</f>
        <v/>
      </c>
      <c r="T83" s="19">
        <f>IF(O83=0,"",G83*P83)</f>
        <v/>
      </c>
      <c r="U83" s="21">
        <f>IF(OR(O83=0,I83=0),"",T83/I83-1)</f>
        <v/>
      </c>
      <c r="V83" s="18">
        <f>IF(O83=0,"PENDENTE",IF(O83&gt;=5,"COMPLETO","PARCIAL"))</f>
        <v/>
      </c>
    </row>
    <row r="84">
      <c r="A84" s="9" t="inlineStr">
        <is>
          <t>BRI-MEC</t>
        </is>
      </c>
      <c r="B84" s="10" t="inlineStr">
        <is>
          <t>fachada</t>
        </is>
      </c>
      <c r="C84" s="11" t="inlineStr">
        <is>
          <t>Mecanismo de brise movel: guia, roldana e trava</t>
        </is>
      </c>
      <c r="D84" s="10" t="inlineStr">
        <is>
          <t>cj</t>
        </is>
      </c>
      <c r="E84" s="12" t="n">
        <v>2</v>
      </c>
      <c r="F84" s="13" t="n">
        <v>0</v>
      </c>
      <c r="G84" s="14">
        <f>E84*(1+F84)</f>
        <v/>
      </c>
      <c r="H84" s="15" t="n">
        <v>2400</v>
      </c>
      <c r="I84" s="16">
        <f>G84*H84</f>
        <v/>
      </c>
      <c r="J84" s="17" t="n"/>
      <c r="K84" s="17" t="n"/>
      <c r="L84" s="17" t="n"/>
      <c r="M84" s="17" t="n"/>
      <c r="N84" s="17" t="n"/>
      <c r="O84" s="18">
        <f>COUNT(J84:N84)</f>
        <v/>
      </c>
      <c r="P84" s="19">
        <f>IF(O84=0,"",MIN(J84:N84))</f>
        <v/>
      </c>
      <c r="Q84" s="10">
        <f>IF(O84=0,"",INDEX($J$3:$N$3,MATCH(P84,J84:N84,0)))</f>
        <v/>
      </c>
      <c r="R84" s="16">
        <f>IF(O84=0,"",AVERAGE(J84:N84))</f>
        <v/>
      </c>
      <c r="S84" s="20">
        <f>IF(O84&lt;2,"",MAX(J84:N84)/P84)</f>
        <v/>
      </c>
      <c r="T84" s="19">
        <f>IF(O84=0,"",G84*P84)</f>
        <v/>
      </c>
      <c r="U84" s="21">
        <f>IF(OR(O84=0,I84=0),"",T84/I84-1)</f>
        <v/>
      </c>
      <c r="V84" s="18">
        <f>IF(O84=0,"PENDENTE",IF(O84&gt;=5,"COMPLETO","PARCIAL"))</f>
        <v/>
      </c>
    </row>
    <row r="85">
      <c r="A85" s="9" t="inlineStr">
        <is>
          <t>FAC-TINTA</t>
        </is>
      </c>
      <c r="B85" s="10" t="inlineStr">
        <is>
          <t>fachada</t>
        </is>
      </c>
      <c r="C85" s="11" t="inlineStr">
        <is>
          <t>Tinta acrilica elastomerica lisa com biocida, 2 demaos</t>
        </is>
      </c>
      <c r="D85" s="10" t="inlineStr">
        <is>
          <t>L</t>
        </is>
      </c>
      <c r="E85" s="12" t="n">
        <v>52.4</v>
      </c>
      <c r="F85" s="13" t="n">
        <v>0</v>
      </c>
      <c r="G85" s="14">
        <f>E85*(1+F85)</f>
        <v/>
      </c>
      <c r="H85" s="15" t="n">
        <v>68</v>
      </c>
      <c r="I85" s="16">
        <f>G85*H85</f>
        <v/>
      </c>
      <c r="J85" s="17" t="n"/>
      <c r="K85" s="17" t="n"/>
      <c r="L85" s="17" t="n"/>
      <c r="M85" s="17" t="n"/>
      <c r="N85" s="17" t="n"/>
      <c r="O85" s="18">
        <f>COUNT(J85:N85)</f>
        <v/>
      </c>
      <c r="P85" s="19">
        <f>IF(O85=0,"",MIN(J85:N85))</f>
        <v/>
      </c>
      <c r="Q85" s="10">
        <f>IF(O85=0,"",INDEX($J$3:$N$3,MATCH(P85,J85:N85,0)))</f>
        <v/>
      </c>
      <c r="R85" s="16">
        <f>IF(O85=0,"",AVERAGE(J85:N85))</f>
        <v/>
      </c>
      <c r="S85" s="20">
        <f>IF(O85&lt;2,"",MAX(J85:N85)/P85)</f>
        <v/>
      </c>
      <c r="T85" s="19">
        <f>IF(O85=0,"",G85*P85)</f>
        <v/>
      </c>
      <c r="U85" s="21">
        <f>IF(OR(O85=0,I85=0),"",T85/I85-1)</f>
        <v/>
      </c>
      <c r="V85" s="18">
        <f>IF(O85=0,"PENDENTE",IF(O85&gt;=5,"COMPLETO","PARCIAL"))</f>
        <v/>
      </c>
    </row>
    <row r="86">
      <c r="A86" s="9" t="inlineStr">
        <is>
          <t>FAC-JUNTA</t>
        </is>
      </c>
      <c r="B86" s="10" t="inlineStr">
        <is>
          <t>fachada</t>
        </is>
      </c>
      <c r="C86" s="11" t="inlineStr">
        <is>
          <t>Tratamento de junta externa: fundo de junta e selante PU</t>
        </is>
      </c>
      <c r="D86" s="10" t="inlineStr">
        <is>
          <t>m</t>
        </is>
      </c>
      <c r="E86" s="12" t="n">
        <v>229.3</v>
      </c>
      <c r="F86" s="13" t="n">
        <v>0</v>
      </c>
      <c r="G86" s="14">
        <f>E86*(1+F86)</f>
        <v/>
      </c>
      <c r="H86" s="15" t="n">
        <v>14</v>
      </c>
      <c r="I86" s="16">
        <f>G86*H86</f>
        <v/>
      </c>
      <c r="J86" s="17" t="n"/>
      <c r="K86" s="17" t="n"/>
      <c r="L86" s="17" t="n"/>
      <c r="M86" s="17" t="n"/>
      <c r="N86" s="17" t="n"/>
      <c r="O86" s="18">
        <f>COUNT(J86:N86)</f>
        <v/>
      </c>
      <c r="P86" s="19">
        <f>IF(O86=0,"",MIN(J86:N86))</f>
        <v/>
      </c>
      <c r="Q86" s="10">
        <f>IF(O86=0,"",INDEX($J$3:$N$3,MATCH(P86,J86:N86,0)))</f>
        <v/>
      </c>
      <c r="R86" s="16">
        <f>IF(O86=0,"",AVERAGE(J86:N86))</f>
        <v/>
      </c>
      <c r="S86" s="20">
        <f>IF(O86&lt;2,"",MAX(J86:N86)/P86)</f>
        <v/>
      </c>
      <c r="T86" s="19">
        <f>IF(O86=0,"",G86*P86)</f>
        <v/>
      </c>
      <c r="U86" s="21">
        <f>IF(OR(O86=0,I86=0),"",T86/I86-1)</f>
        <v/>
      </c>
      <c r="V86" s="18">
        <f>IF(O86=0,"PENDENTE",IF(O86&gt;=5,"COMPLETO","PARCIAL"))</f>
        <v/>
      </c>
    </row>
    <row r="87">
      <c r="A87" s="9" t="inlineStr">
        <is>
          <t>BRI-TRAV</t>
        </is>
      </c>
      <c r="B87" s="10" t="inlineStr">
        <is>
          <t>fachada</t>
        </is>
      </c>
      <c r="C87" s="11" t="inlineStr">
        <is>
          <t>Travessa de brise: U 50x25x1,2 aluminio</t>
        </is>
      </c>
      <c r="D87" s="10" t="inlineStr">
        <is>
          <t>m</t>
        </is>
      </c>
      <c r="E87" s="12" t="n">
        <v>51.6</v>
      </c>
      <c r="F87" s="13" t="n">
        <v>0</v>
      </c>
      <c r="G87" s="14">
        <f>E87*(1+F87)</f>
        <v/>
      </c>
      <c r="H87" s="15" t="n">
        <v>38</v>
      </c>
      <c r="I87" s="16">
        <f>G87*H87</f>
        <v/>
      </c>
      <c r="J87" s="17" t="n"/>
      <c r="K87" s="17" t="n"/>
      <c r="L87" s="17" t="n"/>
      <c r="M87" s="17" t="n"/>
      <c r="N87" s="17" t="n"/>
      <c r="O87" s="18">
        <f>COUNT(J87:N87)</f>
        <v/>
      </c>
      <c r="P87" s="19">
        <f>IF(O87=0,"",MIN(J87:N87))</f>
        <v/>
      </c>
      <c r="Q87" s="10">
        <f>IF(O87=0,"",INDEX($J$3:$N$3,MATCH(P87,J87:N87,0)))</f>
        <v/>
      </c>
      <c r="R87" s="16">
        <f>IF(O87=0,"",AVERAGE(J87:N87))</f>
        <v/>
      </c>
      <c r="S87" s="20">
        <f>IF(O87&lt;2,"",MAX(J87:N87)/P87)</f>
        <v/>
      </c>
      <c r="T87" s="19">
        <f>IF(O87=0,"",G87*P87)</f>
        <v/>
      </c>
      <c r="U87" s="21">
        <f>IF(OR(O87=0,I87=0),"",T87/I87-1)</f>
        <v/>
      </c>
      <c r="V87" s="18">
        <f>IF(O87=0,"PENDENTE",IF(O87&gt;=5,"COMPLETO","PARCIAL"))</f>
        <v/>
      </c>
    </row>
    <row r="88">
      <c r="A88" s="9" t="inlineStr">
        <is>
          <t>FAC-TELA</t>
        </is>
      </c>
      <c r="B88" s="10" t="inlineStr">
        <is>
          <t>fachada</t>
        </is>
      </c>
      <c r="C88" s="11" t="inlineStr">
        <is>
          <t>Tela de fibra de vidro alcali-resistente, embutida no basecoat</t>
        </is>
      </c>
      <c r="D88" s="10" t="inlineStr">
        <is>
          <t>m2</t>
        </is>
      </c>
      <c r="E88" s="12" t="n">
        <v>201.8</v>
      </c>
      <c r="F88" s="13" t="n">
        <v>0</v>
      </c>
      <c r="G88" s="14">
        <f>E88*(1+F88)</f>
        <v/>
      </c>
      <c r="H88" s="15" t="n">
        <v>9</v>
      </c>
      <c r="I88" s="16">
        <f>G88*H88</f>
        <v/>
      </c>
      <c r="J88" s="17" t="n"/>
      <c r="K88" s="17" t="n"/>
      <c r="L88" s="17" t="n"/>
      <c r="M88" s="17" t="n"/>
      <c r="N88" s="17" t="n"/>
      <c r="O88" s="18">
        <f>COUNT(J88:N88)</f>
        <v/>
      </c>
      <c r="P88" s="19">
        <f>IF(O88=0,"",MIN(J88:N88))</f>
        <v/>
      </c>
      <c r="Q88" s="10">
        <f>IF(O88=0,"",INDEX($J$3:$N$3,MATCH(P88,J88:N88,0)))</f>
        <v/>
      </c>
      <c r="R88" s="16">
        <f>IF(O88=0,"",AVERAGE(J88:N88))</f>
        <v/>
      </c>
      <c r="S88" s="20">
        <f>IF(O88&lt;2,"",MAX(J88:N88)/P88)</f>
        <v/>
      </c>
      <c r="T88" s="19">
        <f>IF(O88=0,"",G88*P88)</f>
        <v/>
      </c>
      <c r="U88" s="21">
        <f>IF(OR(O88=0,I88=0),"",T88/I88-1)</f>
        <v/>
      </c>
      <c r="V88" s="18">
        <f>IF(O88=0,"PENDENTE",IF(O88&gt;=5,"COMPLETO","PARCIAL"))</f>
        <v/>
      </c>
    </row>
    <row r="89">
      <c r="A89" s="9" t="inlineStr">
        <is>
          <t>BRI-FIX</t>
        </is>
      </c>
      <c r="B89" s="10" t="inlineStr">
        <is>
          <t>fachada</t>
        </is>
      </c>
      <c r="C89" s="11" t="inlineStr">
        <is>
          <t>Fixacao de travessa no montante</t>
        </is>
      </c>
      <c r="D89" s="10" t="inlineStr">
        <is>
          <t>un</t>
        </is>
      </c>
      <c r="E89" s="12" t="n">
        <v>96</v>
      </c>
      <c r="F89" s="13" t="n">
        <v>0</v>
      </c>
      <c r="G89" s="14">
        <f>E89*(1+F89)</f>
        <v/>
      </c>
      <c r="H89" s="15" t="n">
        <v>6.5</v>
      </c>
      <c r="I89" s="16">
        <f>G89*H89</f>
        <v/>
      </c>
      <c r="J89" s="17" t="n"/>
      <c r="K89" s="17" t="n"/>
      <c r="L89" s="17" t="n"/>
      <c r="M89" s="17" t="n"/>
      <c r="N89" s="17" t="n"/>
      <c r="O89" s="18">
        <f>COUNT(J89:N89)</f>
        <v/>
      </c>
      <c r="P89" s="19">
        <f>IF(O89=0,"",MIN(J89:N89))</f>
        <v/>
      </c>
      <c r="Q89" s="10">
        <f>IF(O89=0,"",INDEX($J$3:$N$3,MATCH(P89,J89:N89,0)))</f>
        <v/>
      </c>
      <c r="R89" s="16">
        <f>IF(O89=0,"",AVERAGE(J89:N89))</f>
        <v/>
      </c>
      <c r="S89" s="20">
        <f>IF(O89&lt;2,"",MAX(J89:N89)/P89)</f>
        <v/>
      </c>
      <c r="T89" s="19">
        <f>IF(O89=0,"",G89*P89)</f>
        <v/>
      </c>
      <c r="U89" s="21">
        <f>IF(OR(O89=0,I89=0),"",T89/I89-1)</f>
        <v/>
      </c>
      <c r="V89" s="18">
        <f>IF(O89=0,"PENDENTE",IF(O89&gt;=5,"COMPLETO","PARCIAL"))</f>
        <v/>
      </c>
    </row>
    <row r="90">
      <c r="A90" s="9" t="inlineStr">
        <is>
          <t>EXT-BLOCO</t>
        </is>
      </c>
      <c r="B90" s="10" t="inlineStr">
        <is>
          <t>externo</t>
        </is>
      </c>
      <c r="C90" s="11" t="inlineStr">
        <is>
          <t>Muro: bloco de concreto estrutural 14 x 19 x 39 ap</t>
        </is>
      </c>
      <c r="D90" s="10" t="inlineStr">
        <is>
          <t>un</t>
        </is>
      </c>
      <c r="E90" s="12" t="n">
        <v>2750</v>
      </c>
      <c r="F90" s="13" t="n">
        <v>0</v>
      </c>
      <c r="G90" s="14">
        <f>E90*(1+F90)</f>
        <v/>
      </c>
      <c r="H90" s="15" t="n">
        <v>4.8</v>
      </c>
      <c r="I90" s="16">
        <f>G90*H90</f>
        <v/>
      </c>
      <c r="J90" s="17" t="n"/>
      <c r="K90" s="17" t="n"/>
      <c r="L90" s="17" t="n"/>
      <c r="M90" s="17" t="n"/>
      <c r="N90" s="17" t="n"/>
      <c r="O90" s="18">
        <f>COUNT(J90:N90)</f>
        <v/>
      </c>
      <c r="P90" s="19">
        <f>IF(O90=0,"",MIN(J90:N90))</f>
        <v/>
      </c>
      <c r="Q90" s="10">
        <f>IF(O90=0,"",INDEX($J$3:$N$3,MATCH(P90,J90:N90,0)))</f>
        <v/>
      </c>
      <c r="R90" s="16">
        <f>IF(O90=0,"",AVERAGE(J90:N90))</f>
        <v/>
      </c>
      <c r="S90" s="20">
        <f>IF(O90&lt;2,"",MAX(J90:N90)/P90)</f>
        <v/>
      </c>
      <c r="T90" s="19">
        <f>IF(O90=0,"",G90*P90)</f>
        <v/>
      </c>
      <c r="U90" s="21">
        <f>IF(OR(O90=0,I90=0),"",T90/I90-1)</f>
        <v/>
      </c>
      <c r="V90" s="18">
        <f>IF(O90=0,"PENDENTE",IF(O90&gt;=5,"COMPLETO","PARCIAL"))</f>
        <v/>
      </c>
    </row>
    <row r="91">
      <c r="A91" s="9" t="inlineStr">
        <is>
          <t>EXT-PISO2</t>
        </is>
      </c>
      <c r="B91" s="10" t="inlineStr">
        <is>
          <t>externo</t>
        </is>
      </c>
      <c r="C91" s="11" t="inlineStr">
        <is>
          <t>lounge e circulacao do deck: WPC coextrudado claro</t>
        </is>
      </c>
      <c r="D91" s="10" t="inlineStr">
        <is>
          <t>m2</t>
        </is>
      </c>
      <c r="E91" s="12" t="n">
        <v>33.12</v>
      </c>
      <c r="F91" s="13" t="n">
        <v>0</v>
      </c>
      <c r="G91" s="14">
        <f>E91*(1+F91)</f>
        <v/>
      </c>
      <c r="H91" s="15" t="n">
        <v>320</v>
      </c>
      <c r="I91" s="16">
        <f>G91*H91</f>
        <v/>
      </c>
      <c r="J91" s="17" t="n"/>
      <c r="K91" s="17" t="n"/>
      <c r="L91" s="17" t="n"/>
      <c r="M91" s="17" t="n"/>
      <c r="N91" s="17" t="n"/>
      <c r="O91" s="18">
        <f>COUNT(J91:N91)</f>
        <v/>
      </c>
      <c r="P91" s="19">
        <f>IF(O91=0,"",MIN(J91:N91))</f>
        <v/>
      </c>
      <c r="Q91" s="10">
        <f>IF(O91=0,"",INDEX($J$3:$N$3,MATCH(P91,J91:N91,0)))</f>
        <v/>
      </c>
      <c r="R91" s="16">
        <f>IF(O91=0,"",AVERAGE(J91:N91))</f>
        <v/>
      </c>
      <c r="S91" s="20">
        <f>IF(O91&lt;2,"",MAX(J91:N91)/P91)</f>
        <v/>
      </c>
      <c r="T91" s="19">
        <f>IF(O91=0,"",G91*P91)</f>
        <v/>
      </c>
      <c r="U91" s="21">
        <f>IF(OR(O91=0,I91=0),"",T91/I91-1)</f>
        <v/>
      </c>
      <c r="V91" s="18">
        <f>IF(O91=0,"PENDENTE",IF(O91&gt;=5,"COMPLETO","PARCIAL"))</f>
        <v/>
      </c>
    </row>
    <row r="92">
      <c r="A92" s="9" t="inlineStr">
        <is>
          <t>EXT-PISC-EST</t>
        </is>
      </c>
      <c r="B92" s="10" t="inlineStr">
        <is>
          <t>externo</t>
        </is>
      </c>
      <c r="C92" s="11" t="inlineStr">
        <is>
          <t>Piscina: casca de concreto armado 150 mm</t>
        </is>
      </c>
      <c r="D92" s="10" t="inlineStr">
        <is>
          <t>m3</t>
        </is>
      </c>
      <c r="E92" s="12" t="n">
        <v>4.57</v>
      </c>
      <c r="F92" s="13" t="n">
        <v>0</v>
      </c>
      <c r="G92" s="14">
        <f>E92*(1+F92)</f>
        <v/>
      </c>
      <c r="H92" s="15" t="n">
        <v>1450</v>
      </c>
      <c r="I92" s="16">
        <f>G92*H92</f>
        <v/>
      </c>
      <c r="J92" s="17" t="n"/>
      <c r="K92" s="17" t="n"/>
      <c r="L92" s="17" t="n"/>
      <c r="M92" s="17" t="n"/>
      <c r="N92" s="17" t="n"/>
      <c r="O92" s="18">
        <f>COUNT(J92:N92)</f>
        <v/>
      </c>
      <c r="P92" s="19">
        <f>IF(O92=0,"",MIN(J92:N92))</f>
        <v/>
      </c>
      <c r="Q92" s="10">
        <f>IF(O92=0,"",INDEX($J$3:$N$3,MATCH(P92,J92:N92,0)))</f>
        <v/>
      </c>
      <c r="R92" s="16">
        <f>IF(O92=0,"",AVERAGE(J92:N92))</f>
        <v/>
      </c>
      <c r="S92" s="20">
        <f>IF(O92&lt;2,"",MAX(J92:N92)/P92)</f>
        <v/>
      </c>
      <c r="T92" s="19">
        <f>IF(O92=0,"",G92*P92)</f>
        <v/>
      </c>
      <c r="U92" s="21">
        <f>IF(OR(O92=0,I92=0),"",T92/I92-1)</f>
        <v/>
      </c>
      <c r="V92" s="18">
        <f>IF(O92=0,"PENDENTE",IF(O92&gt;=5,"COMPLETO","PARCIAL"))</f>
        <v/>
      </c>
    </row>
    <row r="93">
      <c r="A93" s="9" t="inlineStr">
        <is>
          <t>EXT-PISO4</t>
        </is>
      </c>
      <c r="B93" s="10" t="inlineStr">
        <is>
          <t>externo</t>
        </is>
      </c>
      <c r="C93" s="11" t="inlineStr">
        <is>
          <t>patio e deck descoberto: porcelanato externo claro R11</t>
        </is>
      </c>
      <c r="D93" s="10" t="inlineStr">
        <is>
          <t>m2</t>
        </is>
      </c>
      <c r="E93" s="12" t="n">
        <v>43.2</v>
      </c>
      <c r="F93" s="13" t="n">
        <v>0</v>
      </c>
      <c r="G93" s="14">
        <f>E93*(1+F93)</f>
        <v/>
      </c>
      <c r="H93" s="15" t="n">
        <v>148</v>
      </c>
      <c r="I93" s="16">
        <f>G93*H93</f>
        <v/>
      </c>
      <c r="J93" s="17" t="n"/>
      <c r="K93" s="17" t="n"/>
      <c r="L93" s="17" t="n"/>
      <c r="M93" s="17" t="n"/>
      <c r="N93" s="17" t="n"/>
      <c r="O93" s="18">
        <f>COUNT(J93:N93)</f>
        <v/>
      </c>
      <c r="P93" s="19">
        <f>IF(O93=0,"",MIN(J93:N93))</f>
        <v/>
      </c>
      <c r="Q93" s="10">
        <f>IF(O93=0,"",INDEX($J$3:$N$3,MATCH(P93,J93:N93,0)))</f>
        <v/>
      </c>
      <c r="R93" s="16">
        <f>IF(O93=0,"",AVERAGE(J93:N93))</f>
        <v/>
      </c>
      <c r="S93" s="20">
        <f>IF(O93&lt;2,"",MAX(J93:N93)/P93)</f>
        <v/>
      </c>
      <c r="T93" s="19">
        <f>IF(O93=0,"",G93*P93)</f>
        <v/>
      </c>
      <c r="U93" s="21">
        <f>IF(OR(O93=0,I93=0),"",T93/I93-1)</f>
        <v/>
      </c>
      <c r="V93" s="18">
        <f>IF(O93=0,"PENDENTE",IF(O93&gt;=5,"COMPLETO","PARCIAL"))</f>
        <v/>
      </c>
    </row>
    <row r="94">
      <c r="A94" s="9" t="inlineStr">
        <is>
          <t>EXT-PISC-REV</t>
        </is>
      </c>
      <c r="B94" s="10" t="inlineStr">
        <is>
          <t>externo</t>
        </is>
      </c>
      <c r="C94" s="11" t="inlineStr">
        <is>
          <t>Piscina: revestimento de fundo e paredes</t>
        </is>
      </c>
      <c r="D94" s="10" t="inlineStr">
        <is>
          <t>m2</t>
        </is>
      </c>
      <c r="E94" s="12" t="n">
        <v>30.43</v>
      </c>
      <c r="F94" s="13" t="n">
        <v>0</v>
      </c>
      <c r="G94" s="14">
        <f>E94*(1+F94)</f>
        <v/>
      </c>
      <c r="H94" s="15" t="n">
        <v>210</v>
      </c>
      <c r="I94" s="16">
        <f>G94*H94</f>
        <v/>
      </c>
      <c r="J94" s="17" t="n"/>
      <c r="K94" s="17" t="n"/>
      <c r="L94" s="17" t="n"/>
      <c r="M94" s="17" t="n"/>
      <c r="N94" s="17" t="n"/>
      <c r="O94" s="18">
        <f>COUNT(J94:N94)</f>
        <v/>
      </c>
      <c r="P94" s="19">
        <f>IF(O94=0,"",MIN(J94:N94))</f>
        <v/>
      </c>
      <c r="Q94" s="10">
        <f>IF(O94=0,"",INDEX($J$3:$N$3,MATCH(P94,J94:N94,0)))</f>
        <v/>
      </c>
      <c r="R94" s="16">
        <f>IF(O94=0,"",AVERAGE(J94:N94))</f>
        <v/>
      </c>
      <c r="S94" s="20">
        <f>IF(O94&lt;2,"",MAX(J94:N94)/P94)</f>
        <v/>
      </c>
      <c r="T94" s="19">
        <f>IF(O94=0,"",G94*P94)</f>
        <v/>
      </c>
      <c r="U94" s="21">
        <f>IF(OR(O94=0,I94=0),"",T94/I94-1)</f>
        <v/>
      </c>
      <c r="V94" s="18">
        <f>IF(O94=0,"PENDENTE",IF(O94&gt;=5,"COMPLETO","PARCIAL"))</f>
        <v/>
      </c>
    </row>
    <row r="95">
      <c r="A95" s="9" t="inlineStr">
        <is>
          <t>EXT-VASO</t>
        </is>
      </c>
      <c r="B95" s="10" t="inlineStr">
        <is>
          <t>externo</t>
        </is>
      </c>
      <c r="C95" s="11" t="inlineStr">
        <is>
          <t>Vaso e planta em vaso</t>
        </is>
      </c>
      <c r="D95" s="10" t="inlineStr">
        <is>
          <t>un</t>
        </is>
      </c>
      <c r="E95" s="12" t="n">
        <v>24</v>
      </c>
      <c r="F95" s="13" t="n">
        <v>0</v>
      </c>
      <c r="G95" s="14">
        <f>E95*(1+F95)</f>
        <v/>
      </c>
      <c r="H95" s="15" t="n">
        <v>240</v>
      </c>
      <c r="I95" s="16">
        <f>G95*H95</f>
        <v/>
      </c>
      <c r="J95" s="17" t="n"/>
      <c r="K95" s="17" t="n"/>
      <c r="L95" s="17" t="n"/>
      <c r="M95" s="17" t="n"/>
      <c r="N95" s="17" t="n"/>
      <c r="O95" s="18">
        <f>COUNT(J95:N95)</f>
        <v/>
      </c>
      <c r="P95" s="19">
        <f>IF(O95=0,"",MIN(J95:N95))</f>
        <v/>
      </c>
      <c r="Q95" s="10">
        <f>IF(O95=0,"",INDEX($J$3:$N$3,MATCH(P95,J95:N95,0)))</f>
        <v/>
      </c>
      <c r="R95" s="16">
        <f>IF(O95=0,"",AVERAGE(J95:N95))</f>
        <v/>
      </c>
      <c r="S95" s="20">
        <f>IF(O95&lt;2,"",MAX(J95:N95)/P95)</f>
        <v/>
      </c>
      <c r="T95" s="19">
        <f>IF(O95=0,"",G95*P95)</f>
        <v/>
      </c>
      <c r="U95" s="21">
        <f>IF(OR(O95=0,I95=0),"",T95/I95-1)</f>
        <v/>
      </c>
      <c r="V95" s="18">
        <f>IF(O95=0,"PENDENTE",IF(O95&gt;=5,"COMPLETO","PARCIAL"))</f>
        <v/>
      </c>
    </row>
    <row r="96">
      <c r="A96" s="9" t="inlineStr">
        <is>
          <t>EXT-PG03</t>
        </is>
      </c>
      <c r="B96" s="10" t="inlineStr">
        <is>
          <t>externo</t>
        </is>
      </c>
      <c r="C96" s="11" t="inlineStr">
        <is>
          <t>Portao lateral PG03 (dir): ripa de aluminio grafite, 4860 x 2200 mm, pivotante, duas folhas</t>
        </is>
      </c>
      <c r="D96" s="10" t="inlineStr">
        <is>
          <t>m</t>
        </is>
      </c>
      <c r="E96" s="12" t="n">
        <v>134.2</v>
      </c>
      <c r="F96" s="13" t="n">
        <v>0</v>
      </c>
      <c r="G96" s="14">
        <f>E96*(1+F96)</f>
        <v/>
      </c>
      <c r="H96" s="15" t="n">
        <v>42</v>
      </c>
      <c r="I96" s="16">
        <f>G96*H96</f>
        <v/>
      </c>
      <c r="J96" s="17" t="n"/>
      <c r="K96" s="17" t="n"/>
      <c r="L96" s="17" t="n"/>
      <c r="M96" s="17" t="n"/>
      <c r="N96" s="17" t="n"/>
      <c r="O96" s="18">
        <f>COUNT(J96:N96)</f>
        <v/>
      </c>
      <c r="P96" s="19">
        <f>IF(O96=0,"",MIN(J96:N96))</f>
        <v/>
      </c>
      <c r="Q96" s="10">
        <f>IF(O96=0,"",INDEX($J$3:$N$3,MATCH(P96,J96:N96,0)))</f>
        <v/>
      </c>
      <c r="R96" s="16">
        <f>IF(O96=0,"",AVERAGE(J96:N96))</f>
        <v/>
      </c>
      <c r="S96" s="20">
        <f>IF(O96&lt;2,"",MAX(J96:N96)/P96)</f>
        <v/>
      </c>
      <c r="T96" s="19">
        <f>IF(O96=0,"",G96*P96)</f>
        <v/>
      </c>
      <c r="U96" s="21">
        <f>IF(OR(O96=0,I96=0),"",T96/I96-1)</f>
        <v/>
      </c>
      <c r="V96" s="18">
        <f>IF(O96=0,"PENDENTE",IF(O96&gt;=5,"COMPLETO","PARCIAL"))</f>
        <v/>
      </c>
    </row>
    <row r="97">
      <c r="A97" s="9" t="inlineStr">
        <is>
          <t>EXT-GRAMA</t>
        </is>
      </c>
      <c r="B97" s="10" t="inlineStr">
        <is>
          <t>externo</t>
        </is>
      </c>
      <c r="C97" s="11" t="inlineStr">
        <is>
          <t>Grama e canteiro</t>
        </is>
      </c>
      <c r="D97" s="10" t="inlineStr">
        <is>
          <t>m2</t>
        </is>
      </c>
      <c r="E97" s="12" t="n">
        <v>137.16</v>
      </c>
      <c r="F97" s="13" t="n">
        <v>0</v>
      </c>
      <c r="G97" s="14">
        <f>E97*(1+F97)</f>
        <v/>
      </c>
      <c r="H97" s="15" t="n">
        <v>38</v>
      </c>
      <c r="I97" s="16">
        <f>G97*H97</f>
        <v/>
      </c>
      <c r="J97" s="17" t="n"/>
      <c r="K97" s="17" t="n"/>
      <c r="L97" s="17" t="n"/>
      <c r="M97" s="17" t="n"/>
      <c r="N97" s="17" t="n"/>
      <c r="O97" s="18">
        <f>COUNT(J97:N97)</f>
        <v/>
      </c>
      <c r="P97" s="19">
        <f>IF(O97=0,"",MIN(J97:N97))</f>
        <v/>
      </c>
      <c r="Q97" s="10">
        <f>IF(O97=0,"",INDEX($J$3:$N$3,MATCH(P97,J97:N97,0)))</f>
        <v/>
      </c>
      <c r="R97" s="16">
        <f>IF(O97=0,"",AVERAGE(J97:N97))</f>
        <v/>
      </c>
      <c r="S97" s="20">
        <f>IF(O97&lt;2,"",MAX(J97:N97)/P97)</f>
        <v/>
      </c>
      <c r="T97" s="19">
        <f>IF(O97=0,"",G97*P97)</f>
        <v/>
      </c>
      <c r="U97" s="21">
        <f>IF(OR(O97=0,I97=0),"",T97/I97-1)</f>
        <v/>
      </c>
      <c r="V97" s="18">
        <f>IF(O97=0,"PENDENTE",IF(O97&gt;=5,"COMPLETO","PARCIAL"))</f>
        <v/>
      </c>
    </row>
    <row r="98">
      <c r="A98" s="9" t="inlineStr">
        <is>
          <t>EXT-HIDROF</t>
        </is>
      </c>
      <c r="B98" s="10" t="inlineStr">
        <is>
          <t>externo</t>
        </is>
      </c>
      <c r="C98" s="11" t="inlineStr">
        <is>
          <t>Hidrofugante incolor no muro aparente</t>
        </is>
      </c>
      <c r="D98" s="10" t="inlineStr">
        <is>
          <t>m2</t>
        </is>
      </c>
      <c r="E98" s="12" t="n">
        <v>220</v>
      </c>
      <c r="F98" s="13" t="n">
        <v>0</v>
      </c>
      <c r="G98" s="14">
        <f>E98*(1+F98)</f>
        <v/>
      </c>
      <c r="H98" s="15" t="n">
        <v>18</v>
      </c>
      <c r="I98" s="16">
        <f>G98*H98</f>
        <v/>
      </c>
      <c r="J98" s="17" t="n"/>
      <c r="K98" s="17" t="n"/>
      <c r="L98" s="17" t="n"/>
      <c r="M98" s="17" t="n"/>
      <c r="N98" s="17" t="n"/>
      <c r="O98" s="18">
        <f>COUNT(J98:N98)</f>
        <v/>
      </c>
      <c r="P98" s="19">
        <f>IF(O98=0,"",MIN(J98:N98))</f>
        <v/>
      </c>
      <c r="Q98" s="10">
        <f>IF(O98=0,"",INDEX($J$3:$N$3,MATCH(P98,J98:N98,0)))</f>
        <v/>
      </c>
      <c r="R98" s="16">
        <f>IF(O98=0,"",AVERAGE(J98:N98))</f>
        <v/>
      </c>
      <c r="S98" s="20">
        <f>IF(O98&lt;2,"",MAX(J98:N98)/P98)</f>
        <v/>
      </c>
      <c r="T98" s="19">
        <f>IF(O98=0,"",G98*P98)</f>
        <v/>
      </c>
      <c r="U98" s="21">
        <f>IF(OR(O98=0,I98=0),"",T98/I98-1)</f>
        <v/>
      </c>
      <c r="V98" s="18">
        <f>IF(O98=0,"PENDENTE",IF(O98&gt;=5,"COMPLETO","PARCIAL"))</f>
        <v/>
      </c>
    </row>
    <row r="99">
      <c r="A99" s="9" t="inlineStr">
        <is>
          <t>EXT-ARV</t>
        </is>
      </c>
      <c r="B99" s="10" t="inlineStr">
        <is>
          <t>externo</t>
        </is>
      </c>
      <c r="C99" s="11" t="inlineStr">
        <is>
          <t>Arvore de porte</t>
        </is>
      </c>
      <c r="D99" s="10" t="inlineStr">
        <is>
          <t>un</t>
        </is>
      </c>
      <c r="E99" s="12" t="n">
        <v>5</v>
      </c>
      <c r="F99" s="13" t="n">
        <v>0</v>
      </c>
      <c r="G99" s="14">
        <f>E99*(1+F99)</f>
        <v/>
      </c>
      <c r="H99" s="15" t="n">
        <v>780</v>
      </c>
      <c r="I99" s="16">
        <f>G99*H99</f>
        <v/>
      </c>
      <c r="J99" s="17" t="n"/>
      <c r="K99" s="17" t="n"/>
      <c r="L99" s="17" t="n"/>
      <c r="M99" s="17" t="n"/>
      <c r="N99" s="17" t="n"/>
      <c r="O99" s="18">
        <f>COUNT(J99:N99)</f>
        <v/>
      </c>
      <c r="P99" s="19">
        <f>IF(O99=0,"",MIN(J99:N99))</f>
        <v/>
      </c>
      <c r="Q99" s="10">
        <f>IF(O99=0,"",INDEX($J$3:$N$3,MATCH(P99,J99:N99,0)))</f>
        <v/>
      </c>
      <c r="R99" s="16">
        <f>IF(O99=0,"",AVERAGE(J99:N99))</f>
        <v/>
      </c>
      <c r="S99" s="20">
        <f>IF(O99&lt;2,"",MAX(J99:N99)/P99)</f>
        <v/>
      </c>
      <c r="T99" s="19">
        <f>IF(O99=0,"",G99*P99)</f>
        <v/>
      </c>
      <c r="U99" s="21">
        <f>IF(OR(O99=0,I99=0),"",T99/I99-1)</f>
        <v/>
      </c>
      <c r="V99" s="18">
        <f>IF(O99=0,"PENDENTE",IF(O99&gt;=5,"COMPLETO","PARCIAL"))</f>
        <v/>
      </c>
    </row>
    <row r="100">
      <c r="A100" s="9" t="inlineStr">
        <is>
          <t>EXT-PISO1</t>
        </is>
      </c>
      <c r="B100" s="10" t="inlineStr">
        <is>
          <t>externo</t>
        </is>
      </c>
      <c r="C100" s="11" t="inlineStr">
        <is>
          <t>faixa seca da piscina: porcelanato externo claro R11</t>
        </is>
      </c>
      <c r="D100" s="10" t="inlineStr">
        <is>
          <t>m2</t>
        </is>
      </c>
      <c r="E100" s="12" t="n">
        <v>24.3</v>
      </c>
      <c r="F100" s="13" t="n">
        <v>0</v>
      </c>
      <c r="G100" s="14">
        <f>E100*(1+F100)</f>
        <v/>
      </c>
      <c r="H100" s="15" t="n">
        <v>148</v>
      </c>
      <c r="I100" s="16">
        <f>G100*H100</f>
        <v/>
      </c>
      <c r="J100" s="17" t="n"/>
      <c r="K100" s="17" t="n"/>
      <c r="L100" s="17" t="n"/>
      <c r="M100" s="17" t="n"/>
      <c r="N100" s="17" t="n"/>
      <c r="O100" s="18">
        <f>COUNT(J100:N100)</f>
        <v/>
      </c>
      <c r="P100" s="19">
        <f>IF(O100=0,"",MIN(J100:N100))</f>
        <v/>
      </c>
      <c r="Q100" s="10">
        <f>IF(O100=0,"",INDEX($J$3:$N$3,MATCH(P100,J100:N100,0)))</f>
        <v/>
      </c>
      <c r="R100" s="16">
        <f>IF(O100=0,"",AVERAGE(J100:N100))</f>
        <v/>
      </c>
      <c r="S100" s="20">
        <f>IF(O100&lt;2,"",MAX(J100:N100)/P100)</f>
        <v/>
      </c>
      <c r="T100" s="19">
        <f>IF(O100=0,"",G100*P100)</f>
        <v/>
      </c>
      <c r="U100" s="21">
        <f>IF(OR(O100=0,I100=0),"",T100/I100-1)</f>
        <v/>
      </c>
      <c r="V100" s="18">
        <f>IF(O100=0,"PENDENTE",IF(O100&gt;=5,"COMPLETO","PARCIAL"))</f>
        <v/>
      </c>
    </row>
    <row r="101">
      <c r="A101" s="9" t="inlineStr">
        <is>
          <t>EXT-BORDA</t>
        </is>
      </c>
      <c r="B101" s="10" t="inlineStr">
        <is>
          <t>externo</t>
        </is>
      </c>
      <c r="C101" s="11" t="inlineStr">
        <is>
          <t>Borda de piscina</t>
        </is>
      </c>
      <c r="D101" s="10" t="inlineStr">
        <is>
          <t>m</t>
        </is>
      </c>
      <c r="E101" s="12" t="n">
        <v>17.4</v>
      </c>
      <c r="F101" s="13" t="n">
        <v>0</v>
      </c>
      <c r="G101" s="14">
        <f>E101*(1+F101)</f>
        <v/>
      </c>
      <c r="H101" s="15" t="n">
        <v>185</v>
      </c>
      <c r="I101" s="16">
        <f>G101*H101</f>
        <v/>
      </c>
      <c r="J101" s="17" t="n"/>
      <c r="K101" s="17" t="n"/>
      <c r="L101" s="17" t="n"/>
      <c r="M101" s="17" t="n"/>
      <c r="N101" s="17" t="n"/>
      <c r="O101" s="18">
        <f>COUNT(J101:N101)</f>
        <v/>
      </c>
      <c r="P101" s="19">
        <f>IF(O101=0,"",MIN(J101:N101))</f>
        <v/>
      </c>
      <c r="Q101" s="10">
        <f>IF(O101=0,"",INDEX($J$3:$N$3,MATCH(P101,J101:N101,0)))</f>
        <v/>
      </c>
      <c r="R101" s="16">
        <f>IF(O101=0,"",AVERAGE(J101:N101))</f>
        <v/>
      </c>
      <c r="S101" s="20">
        <f>IF(O101&lt;2,"",MAX(J101:N101)/P101)</f>
        <v/>
      </c>
      <c r="T101" s="19">
        <f>IF(O101=0,"",G101*P101)</f>
        <v/>
      </c>
      <c r="U101" s="21">
        <f>IF(OR(O101=0,I101=0),"",T101/I101-1)</f>
        <v/>
      </c>
      <c r="V101" s="18">
        <f>IF(O101=0,"PENDENTE",IF(O101&gt;=5,"COMPLETO","PARCIAL"))</f>
        <v/>
      </c>
    </row>
    <row r="102">
      <c r="A102" s="9" t="inlineStr">
        <is>
          <t>EXT-PISO3</t>
        </is>
      </c>
      <c r="B102" s="10" t="inlineStr">
        <is>
          <t>externo</t>
        </is>
      </c>
      <c r="C102" s="11" t="inlineStr">
        <is>
          <t>passeio e acesso: piso drenante intertravado claro</t>
        </is>
      </c>
      <c r="D102" s="10" t="inlineStr">
        <is>
          <t>m2</t>
        </is>
      </c>
      <c r="E102" s="12" t="n">
        <v>30.96</v>
      </c>
      <c r="F102" s="13" t="n">
        <v>0</v>
      </c>
      <c r="G102" s="14">
        <f>E102*(1+F102)</f>
        <v/>
      </c>
      <c r="H102" s="15" t="n">
        <v>96</v>
      </c>
      <c r="I102" s="16">
        <f>G102*H102</f>
        <v/>
      </c>
      <c r="J102" s="17" t="n"/>
      <c r="K102" s="17" t="n"/>
      <c r="L102" s="17" t="n"/>
      <c r="M102" s="17" t="n"/>
      <c r="N102" s="17" t="n"/>
      <c r="O102" s="18">
        <f>COUNT(J102:N102)</f>
        <v/>
      </c>
      <c r="P102" s="19">
        <f>IF(O102=0,"",MIN(J102:N102))</f>
        <v/>
      </c>
      <c r="Q102" s="10">
        <f>IF(O102=0,"",INDEX($J$3:$N$3,MATCH(P102,J102:N102,0)))</f>
        <v/>
      </c>
      <c r="R102" s="16">
        <f>IF(O102=0,"",AVERAGE(J102:N102))</f>
        <v/>
      </c>
      <c r="S102" s="20">
        <f>IF(O102&lt;2,"",MAX(J102:N102)/P102)</f>
        <v/>
      </c>
      <c r="T102" s="19">
        <f>IF(O102=0,"",G102*P102)</f>
        <v/>
      </c>
      <c r="U102" s="21">
        <f>IF(OR(O102=0,I102=0),"",T102/I102-1)</f>
        <v/>
      </c>
      <c r="V102" s="18">
        <f>IF(O102=0,"PENDENTE",IF(O102&gt;=5,"COMPLETO","PARCIAL"))</f>
        <v/>
      </c>
    </row>
    <row r="103">
      <c r="A103" s="9" t="inlineStr">
        <is>
          <t>EXT-PISC-BOMBA</t>
        </is>
      </c>
      <c r="B103" s="10" t="inlineStr">
        <is>
          <t>externo</t>
        </is>
      </c>
      <c r="C103" s="11" t="inlineStr">
        <is>
          <t>Piscina: bomba velocidade variavel 0,5 cv com pre-filtro</t>
        </is>
      </c>
      <c r="D103" s="10" t="inlineStr">
        <is>
          <t>un</t>
        </is>
      </c>
      <c r="E103" s="12" t="n">
        <v>1</v>
      </c>
      <c r="F103" s="13" t="n">
        <v>0</v>
      </c>
      <c r="G103" s="14">
        <f>E103*(1+F103)</f>
        <v/>
      </c>
      <c r="H103" s="15" t="n">
        <v>2850</v>
      </c>
      <c r="I103" s="16">
        <f>G103*H103</f>
        <v/>
      </c>
      <c r="J103" s="17" t="n"/>
      <c r="K103" s="17" t="n"/>
      <c r="L103" s="17" t="n"/>
      <c r="M103" s="17" t="n"/>
      <c r="N103" s="17" t="n"/>
      <c r="O103" s="18">
        <f>COUNT(J103:N103)</f>
        <v/>
      </c>
      <c r="P103" s="19">
        <f>IF(O103=0,"",MIN(J103:N103))</f>
        <v/>
      </c>
      <c r="Q103" s="10">
        <f>IF(O103=0,"",INDEX($J$3:$N$3,MATCH(P103,J103:N103,0)))</f>
        <v/>
      </c>
      <c r="R103" s="16">
        <f>IF(O103=0,"",AVERAGE(J103:N103))</f>
        <v/>
      </c>
      <c r="S103" s="20">
        <f>IF(O103&lt;2,"",MAX(J103:N103)/P103)</f>
        <v/>
      </c>
      <c r="T103" s="19">
        <f>IF(O103=0,"",G103*P103)</f>
        <v/>
      </c>
      <c r="U103" s="21">
        <f>IF(OR(O103=0,I103=0),"",T103/I103-1)</f>
        <v/>
      </c>
      <c r="V103" s="18">
        <f>IF(O103=0,"PENDENTE",IF(O103&gt;=5,"COMPLETO","PARCIAL"))</f>
        <v/>
      </c>
    </row>
    <row r="104">
      <c r="A104" s="9" t="inlineStr">
        <is>
          <t>EXT-PG02</t>
        </is>
      </c>
      <c r="B104" s="10" t="inlineStr">
        <is>
          <t>externo</t>
        </is>
      </c>
      <c r="C104" s="11" t="inlineStr">
        <is>
          <t>Portao lateral PG02 (esq): ripa de aluminio grafite, 2260 x 2200 mm, pivotante, uma folha</t>
        </is>
      </c>
      <c r="D104" s="10" t="inlineStr">
        <is>
          <t>m</t>
        </is>
      </c>
      <c r="E104" s="12" t="n">
        <v>63.8</v>
      </c>
      <c r="F104" s="13" t="n">
        <v>0</v>
      </c>
      <c r="G104" s="14">
        <f>E104*(1+F104)</f>
        <v/>
      </c>
      <c r="H104" s="15" t="n">
        <v>42</v>
      </c>
      <c r="I104" s="16">
        <f>G104*H104</f>
        <v/>
      </c>
      <c r="J104" s="17" t="n"/>
      <c r="K104" s="17" t="n"/>
      <c r="L104" s="17" t="n"/>
      <c r="M104" s="17" t="n"/>
      <c r="N104" s="17" t="n"/>
      <c r="O104" s="18">
        <f>COUNT(J104:N104)</f>
        <v/>
      </c>
      <c r="P104" s="19">
        <f>IF(O104=0,"",MIN(J104:N104))</f>
        <v/>
      </c>
      <c r="Q104" s="10">
        <f>IF(O104=0,"",INDEX($J$3:$N$3,MATCH(P104,J104:N104,0)))</f>
        <v/>
      </c>
      <c r="R104" s="16">
        <f>IF(O104=0,"",AVERAGE(J104:N104))</f>
        <v/>
      </c>
      <c r="S104" s="20">
        <f>IF(O104&lt;2,"",MAX(J104:N104)/P104)</f>
        <v/>
      </c>
      <c r="T104" s="19">
        <f>IF(O104=0,"",G104*P104)</f>
        <v/>
      </c>
      <c r="U104" s="21">
        <f>IF(OR(O104=0,I104=0),"",T104/I104-1)</f>
        <v/>
      </c>
      <c r="V104" s="18">
        <f>IF(O104=0,"PENDENTE",IF(O104&gt;=5,"COMPLETO","PARCIAL"))</f>
        <v/>
      </c>
    </row>
    <row r="105">
      <c r="A105" s="9" t="inlineStr">
        <is>
          <t>EXT-PISC-TUBO</t>
        </is>
      </c>
      <c r="B105" s="10" t="inlineStr">
        <is>
          <t>externo</t>
        </is>
      </c>
      <c r="C105" s="11" t="inlineStr">
        <is>
          <t>Piscina: tubo PVC soldavel DN50 com conexoes</t>
        </is>
      </c>
      <c r="D105" s="10" t="inlineStr">
        <is>
          <t>m</t>
        </is>
      </c>
      <c r="E105" s="12" t="n">
        <v>94.2</v>
      </c>
      <c r="F105" s="13" t="n">
        <v>0</v>
      </c>
      <c r="G105" s="14">
        <f>E105*(1+F105)</f>
        <v/>
      </c>
      <c r="H105" s="15" t="n">
        <v>28</v>
      </c>
      <c r="I105" s="16">
        <f>G105*H105</f>
        <v/>
      </c>
      <c r="J105" s="17" t="n"/>
      <c r="K105" s="17" t="n"/>
      <c r="L105" s="17" t="n"/>
      <c r="M105" s="17" t="n"/>
      <c r="N105" s="17" t="n"/>
      <c r="O105" s="18">
        <f>COUNT(J105:N105)</f>
        <v/>
      </c>
      <c r="P105" s="19">
        <f>IF(O105=0,"",MIN(J105:N105))</f>
        <v/>
      </c>
      <c r="Q105" s="10">
        <f>IF(O105=0,"",INDEX($J$3:$N$3,MATCH(P105,J105:N105,0)))</f>
        <v/>
      </c>
      <c r="R105" s="16">
        <f>IF(O105=0,"",AVERAGE(J105:N105))</f>
        <v/>
      </c>
      <c r="S105" s="20">
        <f>IF(O105&lt;2,"",MAX(J105:N105)/P105)</f>
        <v/>
      </c>
      <c r="T105" s="19">
        <f>IF(O105=0,"",G105*P105)</f>
        <v/>
      </c>
      <c r="U105" s="21">
        <f>IF(OR(O105=0,I105=0),"",T105/I105-1)</f>
        <v/>
      </c>
      <c r="V105" s="18">
        <f>IF(O105=0,"PENDENTE",IF(O105&gt;=5,"COMPLETO","PARCIAL"))</f>
        <v/>
      </c>
    </row>
    <row r="106">
      <c r="A106" s="9" t="inlineStr">
        <is>
          <t>EXT-PISO5</t>
        </is>
      </c>
      <c r="B106" s="10" t="inlineStr">
        <is>
          <t>externo</t>
        </is>
      </c>
      <c r="C106" s="11" t="inlineStr">
        <is>
          <t>varanda do pavimento superior: porcelanato externo claro R11</t>
        </is>
      </c>
      <c r="D106" s="10" t="inlineStr">
        <is>
          <t>m2</t>
        </is>
      </c>
      <c r="E106" s="12" t="n">
        <v>14.04</v>
      </c>
      <c r="F106" s="13" t="n">
        <v>0</v>
      </c>
      <c r="G106" s="14">
        <f>E106*(1+F106)</f>
        <v/>
      </c>
      <c r="H106" s="15" t="n">
        <v>148</v>
      </c>
      <c r="I106" s="16">
        <f>G106*H106</f>
        <v/>
      </c>
      <c r="J106" s="17" t="n"/>
      <c r="K106" s="17" t="n"/>
      <c r="L106" s="17" t="n"/>
      <c r="M106" s="17" t="n"/>
      <c r="N106" s="17" t="n"/>
      <c r="O106" s="18">
        <f>COUNT(J106:N106)</f>
        <v/>
      </c>
      <c r="P106" s="19">
        <f>IF(O106=0,"",MIN(J106:N106))</f>
        <v/>
      </c>
      <c r="Q106" s="10">
        <f>IF(O106=0,"",INDEX($J$3:$N$3,MATCH(P106,J106:N106,0)))</f>
        <v/>
      </c>
      <c r="R106" s="16">
        <f>IF(O106=0,"",AVERAGE(J106:N106))</f>
        <v/>
      </c>
      <c r="S106" s="20">
        <f>IF(O106&lt;2,"",MAX(J106:N106)/P106)</f>
        <v/>
      </c>
      <c r="T106" s="19">
        <f>IF(O106=0,"",G106*P106)</f>
        <v/>
      </c>
      <c r="U106" s="21">
        <f>IF(OR(O106=0,I106=0),"",T106/I106-1)</f>
        <v/>
      </c>
      <c r="V106" s="18">
        <f>IF(O106=0,"PENDENTE",IF(O106&gt;=5,"COMPLETO","PARCIAL"))</f>
        <v/>
      </c>
    </row>
    <row r="107">
      <c r="A107" s="9" t="inlineStr">
        <is>
          <t>EXT-PISC-FILTRO</t>
        </is>
      </c>
      <c r="B107" s="10" t="inlineStr">
        <is>
          <t>externo</t>
        </is>
      </c>
      <c r="C107" s="11" t="inlineStr">
        <is>
          <t>Piscina: filtro de areia DE 500 mm com valvula seletora</t>
        </is>
      </c>
      <c r="D107" s="10" t="inlineStr">
        <is>
          <t>un</t>
        </is>
      </c>
      <c r="E107" s="12" t="n">
        <v>1</v>
      </c>
      <c r="F107" s="13" t="n">
        <v>0</v>
      </c>
      <c r="G107" s="14">
        <f>E107*(1+F107)</f>
        <v/>
      </c>
      <c r="H107" s="15" t="n">
        <v>1850</v>
      </c>
      <c r="I107" s="16">
        <f>G107*H107</f>
        <v/>
      </c>
      <c r="J107" s="17" t="n"/>
      <c r="K107" s="17" t="n"/>
      <c r="L107" s="17" t="n"/>
      <c r="M107" s="17" t="n"/>
      <c r="N107" s="17" t="n"/>
      <c r="O107" s="18">
        <f>COUNT(J107:N107)</f>
        <v/>
      </c>
      <c r="P107" s="19">
        <f>IF(O107=0,"",MIN(J107:N107))</f>
        <v/>
      </c>
      <c r="Q107" s="10">
        <f>IF(O107=0,"",INDEX($J$3:$N$3,MATCH(P107,J107:N107,0)))</f>
        <v/>
      </c>
      <c r="R107" s="16">
        <f>IF(O107=0,"",AVERAGE(J107:N107))</f>
        <v/>
      </c>
      <c r="S107" s="20">
        <f>IF(O107&lt;2,"",MAX(J107:N107)/P107)</f>
        <v/>
      </c>
      <c r="T107" s="19">
        <f>IF(O107=0,"",G107*P107)</f>
        <v/>
      </c>
      <c r="U107" s="21">
        <f>IF(OR(O107=0,I107=0),"",T107/I107-1)</f>
        <v/>
      </c>
      <c r="V107" s="18">
        <f>IF(O107=0,"PENDENTE",IF(O107&gt;=5,"COMPLETO","PARCIAL"))</f>
        <v/>
      </c>
    </row>
    <row r="108">
      <c r="A108" s="9" t="inlineStr">
        <is>
          <t>EXT-PISC-IMP</t>
        </is>
      </c>
      <c r="B108" s="10" t="inlineStr">
        <is>
          <t>externo</t>
        </is>
      </c>
      <c r="C108" s="11" t="inlineStr">
        <is>
          <t>Piscina: impermeabilizacao (cristalizante + polimerica)</t>
        </is>
      </c>
      <c r="D108" s="10" t="inlineStr">
        <is>
          <t>m2</t>
        </is>
      </c>
      <c r="E108" s="12" t="n">
        <v>30.43</v>
      </c>
      <c r="F108" s="13" t="n">
        <v>0</v>
      </c>
      <c r="G108" s="14">
        <f>E108*(1+F108)</f>
        <v/>
      </c>
      <c r="H108" s="15" t="n">
        <v>58</v>
      </c>
      <c r="I108" s="16">
        <f>G108*H108</f>
        <v/>
      </c>
      <c r="J108" s="17" t="n"/>
      <c r="K108" s="17" t="n"/>
      <c r="L108" s="17" t="n"/>
      <c r="M108" s="17" t="n"/>
      <c r="N108" s="17" t="n"/>
      <c r="O108" s="18">
        <f>COUNT(J108:N108)</f>
        <v/>
      </c>
      <c r="P108" s="19">
        <f>IF(O108=0,"",MIN(J108:N108))</f>
        <v/>
      </c>
      <c r="Q108" s="10">
        <f>IF(O108=0,"",INDEX($J$3:$N$3,MATCH(P108,J108:N108,0)))</f>
        <v/>
      </c>
      <c r="R108" s="16">
        <f>IF(O108=0,"",AVERAGE(J108:N108))</f>
        <v/>
      </c>
      <c r="S108" s="20">
        <f>IF(O108&lt;2,"",MAX(J108:N108)/P108)</f>
        <v/>
      </c>
      <c r="T108" s="19">
        <f>IF(O108=0,"",G108*P108)</f>
        <v/>
      </c>
      <c r="U108" s="21">
        <f>IF(OR(O108=0,I108=0),"",T108/I108-1)</f>
        <v/>
      </c>
      <c r="V108" s="18">
        <f>IF(O108=0,"PENDENTE",IF(O108&gt;=5,"COMPLETO","PARCIAL"))</f>
        <v/>
      </c>
    </row>
    <row r="109">
      <c r="A109" s="9" t="inlineStr">
        <is>
          <t>EXT-GRAUTE</t>
        </is>
      </c>
      <c r="B109" s="10" t="inlineStr">
        <is>
          <t>externo</t>
        </is>
      </c>
      <c r="C109" s="11" t="inlineStr">
        <is>
          <t>Graute de cinta e pilarete do muro</t>
        </is>
      </c>
      <c r="D109" s="10" t="inlineStr">
        <is>
          <t>m3</t>
        </is>
      </c>
      <c r="E109" s="12" t="n">
        <v>2.64</v>
      </c>
      <c r="F109" s="13" t="n">
        <v>0</v>
      </c>
      <c r="G109" s="14">
        <f>E109*(1+F109)</f>
        <v/>
      </c>
      <c r="H109" s="15" t="n">
        <v>620</v>
      </c>
      <c r="I109" s="16">
        <f>G109*H109</f>
        <v/>
      </c>
      <c r="J109" s="17" t="n"/>
      <c r="K109" s="17" t="n"/>
      <c r="L109" s="17" t="n"/>
      <c r="M109" s="17" t="n"/>
      <c r="N109" s="17" t="n"/>
      <c r="O109" s="18">
        <f>COUNT(J109:N109)</f>
        <v/>
      </c>
      <c r="P109" s="19">
        <f>IF(O109=0,"",MIN(J109:N109))</f>
        <v/>
      </c>
      <c r="Q109" s="10">
        <f>IF(O109=0,"",INDEX($J$3:$N$3,MATCH(P109,J109:N109,0)))</f>
        <v/>
      </c>
      <c r="R109" s="16">
        <f>IF(O109=0,"",AVERAGE(J109:N109))</f>
        <v/>
      </c>
      <c r="S109" s="20">
        <f>IF(O109&lt;2,"",MAX(J109:N109)/P109)</f>
        <v/>
      </c>
      <c r="T109" s="19">
        <f>IF(O109=0,"",G109*P109)</f>
        <v/>
      </c>
      <c r="U109" s="21">
        <f>IF(OR(O109=0,I109=0),"",T109/I109-1)</f>
        <v/>
      </c>
      <c r="V109" s="18">
        <f>IF(O109=0,"PENDENTE",IF(O109&gt;=5,"COMPLETO","PARCIAL"))</f>
        <v/>
      </c>
    </row>
    <row r="110">
      <c r="A110" s="9" t="inlineStr">
        <is>
          <t>EXT-PISC-LED</t>
        </is>
      </c>
      <c r="B110" s="10" t="inlineStr">
        <is>
          <t>externo</t>
        </is>
      </c>
      <c r="C110" s="11" t="inlineStr">
        <is>
          <t>Piscina: LED subaquatico 18 W 2700-3000 K</t>
        </is>
      </c>
      <c r="D110" s="10" t="inlineStr">
        <is>
          <t>un</t>
        </is>
      </c>
      <c r="E110" s="12" t="n">
        <v>3</v>
      </c>
      <c r="F110" s="13" t="n">
        <v>0</v>
      </c>
      <c r="G110" s="14">
        <f>E110*(1+F110)</f>
        <v/>
      </c>
      <c r="H110" s="15" t="n">
        <v>390</v>
      </c>
      <c r="I110" s="16">
        <f>G110*H110</f>
        <v/>
      </c>
      <c r="J110" s="17" t="n"/>
      <c r="K110" s="17" t="n"/>
      <c r="L110" s="17" t="n"/>
      <c r="M110" s="17" t="n"/>
      <c r="N110" s="17" t="n"/>
      <c r="O110" s="18">
        <f>COUNT(J110:N110)</f>
        <v/>
      </c>
      <c r="P110" s="19">
        <f>IF(O110=0,"",MIN(J110:N110))</f>
        <v/>
      </c>
      <c r="Q110" s="10">
        <f>IF(O110=0,"",INDEX($J$3:$N$3,MATCH(P110,J110:N110,0)))</f>
        <v/>
      </c>
      <c r="R110" s="16">
        <f>IF(O110=0,"",AVERAGE(J110:N110))</f>
        <v/>
      </c>
      <c r="S110" s="20">
        <f>IF(O110&lt;2,"",MAX(J110:N110)/P110)</f>
        <v/>
      </c>
      <c r="T110" s="19">
        <f>IF(O110=0,"",G110*P110)</f>
        <v/>
      </c>
      <c r="U110" s="21">
        <f>IF(OR(O110=0,I110=0),"",T110/I110-1)</f>
        <v/>
      </c>
      <c r="V110" s="18">
        <f>IF(O110=0,"PENDENTE",IF(O110&gt;=5,"COMPLETO","PARCIAL"))</f>
        <v/>
      </c>
    </row>
    <row r="111">
      <c r="A111" s="9" t="inlineStr">
        <is>
          <t>EXT-PG03-TRV</t>
        </is>
      </c>
      <c r="B111" s="10" t="inlineStr">
        <is>
          <t>externo</t>
        </is>
      </c>
      <c r="C111" s="11" t="inlineStr">
        <is>
          <t>Portao PG03: travessa e quadro</t>
        </is>
      </c>
      <c r="D111" s="10" t="inlineStr">
        <is>
          <t>m</t>
        </is>
      </c>
      <c r="E111" s="12" t="n">
        <v>28.2</v>
      </c>
      <c r="F111" s="13" t="n">
        <v>0</v>
      </c>
      <c r="G111" s="14">
        <f>E111*(1+F111)</f>
        <v/>
      </c>
      <c r="H111" s="15" t="n">
        <v>38</v>
      </c>
      <c r="I111" s="16">
        <f>G111*H111</f>
        <v/>
      </c>
      <c r="J111" s="17" t="n"/>
      <c r="K111" s="17" t="n"/>
      <c r="L111" s="17" t="n"/>
      <c r="M111" s="17" t="n"/>
      <c r="N111" s="17" t="n"/>
      <c r="O111" s="18">
        <f>COUNT(J111:N111)</f>
        <v/>
      </c>
      <c r="P111" s="19">
        <f>IF(O111=0,"",MIN(J111:N111))</f>
        <v/>
      </c>
      <c r="Q111" s="10">
        <f>IF(O111=0,"",INDEX($J$3:$N$3,MATCH(P111,J111:N111,0)))</f>
        <v/>
      </c>
      <c r="R111" s="16">
        <f>IF(O111=0,"",AVERAGE(J111:N111))</f>
        <v/>
      </c>
      <c r="S111" s="20">
        <f>IF(O111&lt;2,"",MAX(J111:N111)/P111)</f>
        <v/>
      </c>
      <c r="T111" s="19">
        <f>IF(O111=0,"",G111*P111)</f>
        <v/>
      </c>
      <c r="U111" s="21">
        <f>IF(OR(O111=0,I111=0),"",T111/I111-1)</f>
        <v/>
      </c>
      <c r="V111" s="18">
        <f>IF(O111=0,"PENDENTE",IF(O111&gt;=5,"COMPLETO","PARCIAL"))</f>
        <v/>
      </c>
    </row>
    <row r="112">
      <c r="A112" s="9" t="inlineStr">
        <is>
          <t>EXT-PISC-DRENO</t>
        </is>
      </c>
      <c r="B112" s="10" t="inlineStr">
        <is>
          <t>externo</t>
        </is>
      </c>
      <c r="C112" s="11" t="inlineStr">
        <is>
          <t>Piscina: dreno de fundo antiaprisionamento</t>
        </is>
      </c>
      <c r="D112" s="10" t="inlineStr">
        <is>
          <t>un</t>
        </is>
      </c>
      <c r="E112" s="12" t="n">
        <v>2</v>
      </c>
      <c r="F112" s="13" t="n">
        <v>0</v>
      </c>
      <c r="G112" s="14">
        <f>E112*(1+F112)</f>
        <v/>
      </c>
      <c r="H112" s="15" t="n">
        <v>220</v>
      </c>
      <c r="I112" s="16">
        <f>G112*H112</f>
        <v/>
      </c>
      <c r="J112" s="17" t="n"/>
      <c r="K112" s="17" t="n"/>
      <c r="L112" s="17" t="n"/>
      <c r="M112" s="17" t="n"/>
      <c r="N112" s="17" t="n"/>
      <c r="O112" s="18">
        <f>COUNT(J112:N112)</f>
        <v/>
      </c>
      <c r="P112" s="19">
        <f>IF(O112=0,"",MIN(J112:N112))</f>
        <v/>
      </c>
      <c r="Q112" s="10">
        <f>IF(O112=0,"",INDEX($J$3:$N$3,MATCH(P112,J112:N112,0)))</f>
        <v/>
      </c>
      <c r="R112" s="16">
        <f>IF(O112=0,"",AVERAGE(J112:N112))</f>
        <v/>
      </c>
      <c r="S112" s="20">
        <f>IF(O112&lt;2,"",MAX(J112:N112)/P112)</f>
        <v/>
      </c>
      <c r="T112" s="19">
        <f>IF(O112=0,"",G112*P112)</f>
        <v/>
      </c>
      <c r="U112" s="21">
        <f>IF(OR(O112=0,I112=0),"",T112/I112-1)</f>
        <v/>
      </c>
      <c r="V112" s="18">
        <f>IF(O112=0,"PENDENTE",IF(O112&gt;=5,"COMPLETO","PARCIAL"))</f>
        <v/>
      </c>
    </row>
    <row r="113">
      <c r="A113" s="9" t="inlineStr">
        <is>
          <t>EXT-PISC-AREIA</t>
        </is>
      </c>
      <c r="B113" s="10" t="inlineStr">
        <is>
          <t>externo</t>
        </is>
      </c>
      <c r="C113" s="11" t="inlineStr">
        <is>
          <t>Piscina: areia filtrante (leito de 600 mm)</t>
        </is>
      </c>
      <c r="D113" s="10" t="inlineStr">
        <is>
          <t>kg</t>
        </is>
      </c>
      <c r="E113" s="12" t="n">
        <v>188</v>
      </c>
      <c r="F113" s="13" t="n">
        <v>0</v>
      </c>
      <c r="G113" s="14">
        <f>E113*(1+F113)</f>
        <v/>
      </c>
      <c r="H113" s="15" t="n">
        <v>2.2</v>
      </c>
      <c r="I113" s="16">
        <f>G113*H113</f>
        <v/>
      </c>
      <c r="J113" s="17" t="n"/>
      <c r="K113" s="17" t="n"/>
      <c r="L113" s="17" t="n"/>
      <c r="M113" s="17" t="n"/>
      <c r="N113" s="17" t="n"/>
      <c r="O113" s="18">
        <f>COUNT(J113:N113)</f>
        <v/>
      </c>
      <c r="P113" s="19">
        <f>IF(O113=0,"",MIN(J113:N113))</f>
        <v/>
      </c>
      <c r="Q113" s="10">
        <f>IF(O113=0,"",INDEX($J$3:$N$3,MATCH(P113,J113:N113,0)))</f>
        <v/>
      </c>
      <c r="R113" s="16">
        <f>IF(O113=0,"",AVERAGE(J113:N113))</f>
        <v/>
      </c>
      <c r="S113" s="20">
        <f>IF(O113&lt;2,"",MAX(J113:N113)/P113)</f>
        <v/>
      </c>
      <c r="T113" s="19">
        <f>IF(O113=0,"",G113*P113)</f>
        <v/>
      </c>
      <c r="U113" s="21">
        <f>IF(OR(O113=0,I113=0),"",T113/I113-1)</f>
        <v/>
      </c>
      <c r="V113" s="18">
        <f>IF(O113=0,"PENDENTE",IF(O113&gt;=5,"COMPLETO","PARCIAL"))</f>
        <v/>
      </c>
    </row>
    <row r="114">
      <c r="A114" s="9" t="inlineStr">
        <is>
          <t>EXT-PG02-TRV</t>
        </is>
      </c>
      <c r="B114" s="10" t="inlineStr">
        <is>
          <t>externo</t>
        </is>
      </c>
      <c r="C114" s="11" t="inlineStr">
        <is>
          <t>Portao PG02: travessa e quadro</t>
        </is>
      </c>
      <c r="D114" s="10" t="inlineStr">
        <is>
          <t>m</t>
        </is>
      </c>
      <c r="E114" s="12" t="n">
        <v>8.9</v>
      </c>
      <c r="F114" s="13" t="n">
        <v>0</v>
      </c>
      <c r="G114" s="14">
        <f>E114*(1+F114)</f>
        <v/>
      </c>
      <c r="H114" s="15" t="n">
        <v>38</v>
      </c>
      <c r="I114" s="16">
        <f>G114*H114</f>
        <v/>
      </c>
      <c r="J114" s="17" t="n"/>
      <c r="K114" s="17" t="n"/>
      <c r="L114" s="17" t="n"/>
      <c r="M114" s="17" t="n"/>
      <c r="N114" s="17" t="n"/>
      <c r="O114" s="18">
        <f>COUNT(J114:N114)</f>
        <v/>
      </c>
      <c r="P114" s="19">
        <f>IF(O114=0,"",MIN(J114:N114))</f>
        <v/>
      </c>
      <c r="Q114" s="10">
        <f>IF(O114=0,"",INDEX($J$3:$N$3,MATCH(P114,J114:N114,0)))</f>
        <v/>
      </c>
      <c r="R114" s="16">
        <f>IF(O114=0,"",AVERAGE(J114:N114))</f>
        <v/>
      </c>
      <c r="S114" s="20">
        <f>IF(O114&lt;2,"",MAX(J114:N114)/P114)</f>
        <v/>
      </c>
      <c r="T114" s="19">
        <f>IF(O114=0,"",G114*P114)</f>
        <v/>
      </c>
      <c r="U114" s="21">
        <f>IF(OR(O114=0,I114=0),"",T114/I114-1)</f>
        <v/>
      </c>
      <c r="V114" s="18">
        <f>IF(O114=0,"PENDENTE",IF(O114&gt;=5,"COMPLETO","PARCIAL"))</f>
        <v/>
      </c>
    </row>
    <row r="115">
      <c r="A115" s="9" t="inlineStr">
        <is>
          <t>EXT-PG03-FER</t>
        </is>
      </c>
      <c r="B115" s="10" t="inlineStr">
        <is>
          <t>externo</t>
        </is>
      </c>
      <c r="C115" s="11" t="inlineStr">
        <is>
          <t>Portao PG03: dobradica reforcada</t>
        </is>
      </c>
      <c r="D115" s="10" t="inlineStr">
        <is>
          <t>un</t>
        </is>
      </c>
      <c r="E115" s="12" t="n">
        <v>6</v>
      </c>
      <c r="F115" s="13" t="n">
        <v>0</v>
      </c>
      <c r="G115" s="14">
        <f>E115*(1+F115)</f>
        <v/>
      </c>
      <c r="H115" s="15" t="n">
        <v>52</v>
      </c>
      <c r="I115" s="16">
        <f>G115*H115</f>
        <v/>
      </c>
      <c r="J115" s="17" t="n"/>
      <c r="K115" s="17" t="n"/>
      <c r="L115" s="17" t="n"/>
      <c r="M115" s="17" t="n"/>
      <c r="N115" s="17" t="n"/>
      <c r="O115" s="18">
        <f>COUNT(J115:N115)</f>
        <v/>
      </c>
      <c r="P115" s="19">
        <f>IF(O115=0,"",MIN(J115:N115))</f>
        <v/>
      </c>
      <c r="Q115" s="10">
        <f>IF(O115=0,"",INDEX($J$3:$N$3,MATCH(P115,J115:N115,0)))</f>
        <v/>
      </c>
      <c r="R115" s="16">
        <f>IF(O115=0,"",AVERAGE(J115:N115))</f>
        <v/>
      </c>
      <c r="S115" s="20">
        <f>IF(O115&lt;2,"",MAX(J115:N115)/P115)</f>
        <v/>
      </c>
      <c r="T115" s="19">
        <f>IF(O115=0,"",G115*P115)</f>
        <v/>
      </c>
      <c r="U115" s="21">
        <f>IF(OR(O115=0,I115=0),"",T115/I115-1)</f>
        <v/>
      </c>
      <c r="V115" s="18">
        <f>IF(O115=0,"PENDENTE",IF(O115&gt;=5,"COMPLETO","PARCIAL"))</f>
        <v/>
      </c>
    </row>
    <row r="116">
      <c r="A116" s="9" t="inlineStr">
        <is>
          <t>EXT-PISC-FONTE</t>
        </is>
      </c>
      <c r="B116" s="10" t="inlineStr">
        <is>
          <t>externo</t>
        </is>
      </c>
      <c r="C116" s="11" t="inlineStr">
        <is>
          <t>Piscina: fonte SELV 12 V com DR</t>
        </is>
      </c>
      <c r="D116" s="10" t="inlineStr">
        <is>
          <t>un</t>
        </is>
      </c>
      <c r="E116" s="12" t="n">
        <v>1</v>
      </c>
      <c r="F116" s="13" t="n">
        <v>0</v>
      </c>
      <c r="G116" s="14">
        <f>E116*(1+F116)</f>
        <v/>
      </c>
      <c r="H116" s="15" t="n">
        <v>260</v>
      </c>
      <c r="I116" s="16">
        <f>G116*H116</f>
        <v/>
      </c>
      <c r="J116" s="17" t="n"/>
      <c r="K116" s="17" t="n"/>
      <c r="L116" s="17" t="n"/>
      <c r="M116" s="17" t="n"/>
      <c r="N116" s="17" t="n"/>
      <c r="O116" s="18">
        <f>COUNT(J116:N116)</f>
        <v/>
      </c>
      <c r="P116" s="19">
        <f>IF(O116=0,"",MIN(J116:N116))</f>
        <v/>
      </c>
      <c r="Q116" s="10">
        <f>IF(O116=0,"",INDEX($J$3:$N$3,MATCH(P116,J116:N116,0)))</f>
        <v/>
      </c>
      <c r="R116" s="16">
        <f>IF(O116=0,"",AVERAGE(J116:N116))</f>
        <v/>
      </c>
      <c r="S116" s="20">
        <f>IF(O116&lt;2,"",MAX(J116:N116)/P116)</f>
        <v/>
      </c>
      <c r="T116" s="19">
        <f>IF(O116=0,"",G116*P116)</f>
        <v/>
      </c>
      <c r="U116" s="21">
        <f>IF(OR(O116=0,I116=0),"",T116/I116-1)</f>
        <v/>
      </c>
      <c r="V116" s="18">
        <f>IF(O116=0,"PENDENTE",IF(O116&gt;=5,"COMPLETO","PARCIAL"))</f>
        <v/>
      </c>
    </row>
    <row r="117">
      <c r="A117" s="9" t="inlineStr">
        <is>
          <t>EXT-PISC-REG</t>
        </is>
      </c>
      <c r="B117" s="10" t="inlineStr">
        <is>
          <t>externo</t>
        </is>
      </c>
      <c r="C117" s="11" t="inlineStr">
        <is>
          <t>Piscina: registro de esfera DN50</t>
        </is>
      </c>
      <c r="D117" s="10" t="inlineStr">
        <is>
          <t>un</t>
        </is>
      </c>
      <c r="E117" s="12" t="n">
        <v>5</v>
      </c>
      <c r="F117" s="13" t="n">
        <v>0</v>
      </c>
      <c r="G117" s="14">
        <f>E117*(1+F117)</f>
        <v/>
      </c>
      <c r="H117" s="15" t="n">
        <v>48</v>
      </c>
      <c r="I117" s="16">
        <f>G117*H117</f>
        <v/>
      </c>
      <c r="J117" s="17" t="n"/>
      <c r="K117" s="17" t="n"/>
      <c r="L117" s="17" t="n"/>
      <c r="M117" s="17" t="n"/>
      <c r="N117" s="17" t="n"/>
      <c r="O117" s="18">
        <f>COUNT(J117:N117)</f>
        <v/>
      </c>
      <c r="P117" s="19">
        <f>IF(O117=0,"",MIN(J117:N117))</f>
        <v/>
      </c>
      <c r="Q117" s="10">
        <f>IF(O117=0,"",INDEX($J$3:$N$3,MATCH(P117,J117:N117,0)))</f>
        <v/>
      </c>
      <c r="R117" s="16">
        <f>IF(O117=0,"",AVERAGE(J117:N117))</f>
        <v/>
      </c>
      <c r="S117" s="20">
        <f>IF(O117&lt;2,"",MAX(J117:N117)/P117)</f>
        <v/>
      </c>
      <c r="T117" s="19">
        <f>IF(O117=0,"",G117*P117)</f>
        <v/>
      </c>
      <c r="U117" s="21">
        <f>IF(OR(O117=0,I117=0),"",T117/I117-1)</f>
        <v/>
      </c>
      <c r="V117" s="18">
        <f>IF(O117=0,"PENDENTE",IF(O117&gt;=5,"COMPLETO","PARCIAL"))</f>
        <v/>
      </c>
    </row>
    <row r="118">
      <c r="A118" s="9" t="inlineStr">
        <is>
          <t>EXT-PISC-SKIM</t>
        </is>
      </c>
      <c r="B118" s="10" t="inlineStr">
        <is>
          <t>externo</t>
        </is>
      </c>
      <c r="C118" s="11" t="inlineStr">
        <is>
          <t>Piscina: skimmer de embutir</t>
        </is>
      </c>
      <c r="D118" s="10" t="inlineStr">
        <is>
          <t>un</t>
        </is>
      </c>
      <c r="E118" s="12" t="n">
        <v>1</v>
      </c>
      <c r="F118" s="13" t="n">
        <v>0</v>
      </c>
      <c r="G118" s="14">
        <f>E118*(1+F118)</f>
        <v/>
      </c>
      <c r="H118" s="15" t="n">
        <v>180</v>
      </c>
      <c r="I118" s="16">
        <f>G118*H118</f>
        <v/>
      </c>
      <c r="J118" s="17" t="n"/>
      <c r="K118" s="17" t="n"/>
      <c r="L118" s="17" t="n"/>
      <c r="M118" s="17" t="n"/>
      <c r="N118" s="17" t="n"/>
      <c r="O118" s="18">
        <f>COUNT(J118:N118)</f>
        <v/>
      </c>
      <c r="P118" s="19">
        <f>IF(O118=0,"",MIN(J118:N118))</f>
        <v/>
      </c>
      <c r="Q118" s="10">
        <f>IF(O118=0,"",INDEX($J$3:$N$3,MATCH(P118,J118:N118,0)))</f>
        <v/>
      </c>
      <c r="R118" s="16">
        <f>IF(O118=0,"",AVERAGE(J118:N118))</f>
        <v/>
      </c>
      <c r="S118" s="20">
        <f>IF(O118&lt;2,"",MAX(J118:N118)/P118)</f>
        <v/>
      </c>
      <c r="T118" s="19">
        <f>IF(O118=0,"",G118*P118)</f>
        <v/>
      </c>
      <c r="U118" s="21">
        <f>IF(OR(O118=0,I118=0),"",T118/I118-1)</f>
        <v/>
      </c>
      <c r="V118" s="18">
        <f>IF(O118=0,"PENDENTE",IF(O118&gt;=5,"COMPLETO","PARCIAL"))</f>
        <v/>
      </c>
    </row>
    <row r="119">
      <c r="A119" s="9" t="inlineStr">
        <is>
          <t>EXT-PISC-RET</t>
        </is>
      </c>
      <c r="B119" s="10" t="inlineStr">
        <is>
          <t>externo</t>
        </is>
      </c>
      <c r="C119" s="11" t="inlineStr">
        <is>
          <t>Piscina: dispositivo de retorno</t>
        </is>
      </c>
      <c r="D119" s="10" t="inlineStr">
        <is>
          <t>un</t>
        </is>
      </c>
      <c r="E119" s="12" t="n">
        <v>4</v>
      </c>
      <c r="F119" s="13" t="n">
        <v>0</v>
      </c>
      <c r="G119" s="14">
        <f>E119*(1+F119)</f>
        <v/>
      </c>
      <c r="H119" s="15" t="n">
        <v>45</v>
      </c>
      <c r="I119" s="16">
        <f>G119*H119</f>
        <v/>
      </c>
      <c r="J119" s="17" t="n"/>
      <c r="K119" s="17" t="n"/>
      <c r="L119" s="17" t="n"/>
      <c r="M119" s="17" t="n"/>
      <c r="N119" s="17" t="n"/>
      <c r="O119" s="18">
        <f>COUNT(J119:N119)</f>
        <v/>
      </c>
      <c r="P119" s="19">
        <f>IF(O119=0,"",MIN(J119:N119))</f>
        <v/>
      </c>
      <c r="Q119" s="10">
        <f>IF(O119=0,"",INDEX($J$3:$N$3,MATCH(P119,J119:N119,0)))</f>
        <v/>
      </c>
      <c r="R119" s="16">
        <f>IF(O119=0,"",AVERAGE(J119:N119))</f>
        <v/>
      </c>
      <c r="S119" s="20">
        <f>IF(O119&lt;2,"",MAX(J119:N119)/P119)</f>
        <v/>
      </c>
      <c r="T119" s="19">
        <f>IF(O119=0,"",G119*P119)</f>
        <v/>
      </c>
      <c r="U119" s="21">
        <f>IF(OR(O119=0,I119=0),"",T119/I119-1)</f>
        <v/>
      </c>
      <c r="V119" s="18">
        <f>IF(O119=0,"PENDENTE",IF(O119&gt;=5,"COMPLETO","PARCIAL"))</f>
        <v/>
      </c>
    </row>
    <row r="120">
      <c r="A120" s="9" t="inlineStr">
        <is>
          <t>EXT-PG02-FER</t>
        </is>
      </c>
      <c r="B120" s="10" t="inlineStr">
        <is>
          <t>externo</t>
        </is>
      </c>
      <c r="C120" s="11" t="inlineStr">
        <is>
          <t>Portao PG02: dobradica reforcada</t>
        </is>
      </c>
      <c r="D120" s="10" t="inlineStr">
        <is>
          <t>un</t>
        </is>
      </c>
      <c r="E120" s="12" t="n">
        <v>3</v>
      </c>
      <c r="F120" s="13" t="n">
        <v>0</v>
      </c>
      <c r="G120" s="14">
        <f>E120*(1+F120)</f>
        <v/>
      </c>
      <c r="H120" s="15" t="n">
        <v>52</v>
      </c>
      <c r="I120" s="16">
        <f>G120*H120</f>
        <v/>
      </c>
      <c r="J120" s="17" t="n"/>
      <c r="K120" s="17" t="n"/>
      <c r="L120" s="17" t="n"/>
      <c r="M120" s="17" t="n"/>
      <c r="N120" s="17" t="n"/>
      <c r="O120" s="18">
        <f>COUNT(J120:N120)</f>
        <v/>
      </c>
      <c r="P120" s="19">
        <f>IF(O120=0,"",MIN(J120:N120))</f>
        <v/>
      </c>
      <c r="Q120" s="10">
        <f>IF(O120=0,"",INDEX($J$3:$N$3,MATCH(P120,J120:N120,0)))</f>
        <v/>
      </c>
      <c r="R120" s="16">
        <f>IF(O120=0,"",AVERAGE(J120:N120))</f>
        <v/>
      </c>
      <c r="S120" s="20">
        <f>IF(O120&lt;2,"",MAX(J120:N120)/P120)</f>
        <v/>
      </c>
      <c r="T120" s="19">
        <f>IF(O120=0,"",G120*P120)</f>
        <v/>
      </c>
      <c r="U120" s="21">
        <f>IF(OR(O120=0,I120=0),"",T120/I120-1)</f>
        <v/>
      </c>
      <c r="V120" s="18">
        <f>IF(O120=0,"PENDENTE",IF(O120&gt;=5,"COMPLETO","PARCIAL"))</f>
        <v/>
      </c>
    </row>
    <row r="121">
      <c r="A121" s="9" t="inlineStr">
        <is>
          <t>EXT-PG02-FEC</t>
        </is>
      </c>
      <c r="B121" s="10" t="inlineStr">
        <is>
          <t>externo</t>
        </is>
      </c>
      <c r="C121" s="11" t="inlineStr">
        <is>
          <t>Portao PG02: fechadura</t>
        </is>
      </c>
      <c r="D121" s="10" t="inlineStr">
        <is>
          <t>un</t>
        </is>
      </c>
      <c r="E121" s="12" t="n">
        <v>1</v>
      </c>
      <c r="F121" s="13" t="n">
        <v>0</v>
      </c>
      <c r="G121" s="14">
        <f>E121*(1+F121)</f>
        <v/>
      </c>
      <c r="H121" s="15" t="n">
        <v>145</v>
      </c>
      <c r="I121" s="16">
        <f>G121*H121</f>
        <v/>
      </c>
      <c r="J121" s="17" t="n"/>
      <c r="K121" s="17" t="n"/>
      <c r="L121" s="17" t="n"/>
      <c r="M121" s="17" t="n"/>
      <c r="N121" s="17" t="n"/>
      <c r="O121" s="18">
        <f>COUNT(J121:N121)</f>
        <v/>
      </c>
      <c r="P121" s="19">
        <f>IF(O121=0,"",MIN(J121:N121))</f>
        <v/>
      </c>
      <c r="Q121" s="10">
        <f>IF(O121=0,"",INDEX($J$3:$N$3,MATCH(P121,J121:N121,0)))</f>
        <v/>
      </c>
      <c r="R121" s="16">
        <f>IF(O121=0,"",AVERAGE(J121:N121))</f>
        <v/>
      </c>
      <c r="S121" s="20">
        <f>IF(O121&lt;2,"",MAX(J121:N121)/P121)</f>
        <v/>
      </c>
      <c r="T121" s="19">
        <f>IF(O121=0,"",G121*P121)</f>
        <v/>
      </c>
      <c r="U121" s="21">
        <f>IF(OR(O121=0,I121=0),"",T121/I121-1)</f>
        <v/>
      </c>
      <c r="V121" s="18">
        <f>IF(O121=0,"PENDENTE",IF(O121&gt;=5,"COMPLETO","PARCIAL"))</f>
        <v/>
      </c>
    </row>
    <row r="122">
      <c r="A122" s="9" t="inlineStr">
        <is>
          <t>EXT-PG03-FEC</t>
        </is>
      </c>
      <c r="B122" s="10" t="inlineStr">
        <is>
          <t>externo</t>
        </is>
      </c>
      <c r="C122" s="11" t="inlineStr">
        <is>
          <t>Portao PG03: fechadura</t>
        </is>
      </c>
      <c r="D122" s="10" t="inlineStr">
        <is>
          <t>un</t>
        </is>
      </c>
      <c r="E122" s="12" t="n">
        <v>1</v>
      </c>
      <c r="F122" s="13" t="n">
        <v>0</v>
      </c>
      <c r="G122" s="14">
        <f>E122*(1+F122)</f>
        <v/>
      </c>
      <c r="H122" s="15" t="n">
        <v>145</v>
      </c>
      <c r="I122" s="16">
        <f>G122*H122</f>
        <v/>
      </c>
      <c r="J122" s="17" t="n"/>
      <c r="K122" s="17" t="n"/>
      <c r="L122" s="17" t="n"/>
      <c r="M122" s="17" t="n"/>
      <c r="N122" s="17" t="n"/>
      <c r="O122" s="18">
        <f>COUNT(J122:N122)</f>
        <v/>
      </c>
      <c r="P122" s="19">
        <f>IF(O122=0,"",MIN(J122:N122))</f>
        <v/>
      </c>
      <c r="Q122" s="10">
        <f>IF(O122=0,"",INDEX($J$3:$N$3,MATCH(P122,J122:N122,0)))</f>
        <v/>
      </c>
      <c r="R122" s="16">
        <f>IF(O122=0,"",AVERAGE(J122:N122))</f>
        <v/>
      </c>
      <c r="S122" s="20">
        <f>IF(O122&lt;2,"",MAX(J122:N122)/P122)</f>
        <v/>
      </c>
      <c r="T122" s="19">
        <f>IF(O122=0,"",G122*P122)</f>
        <v/>
      </c>
      <c r="U122" s="21">
        <f>IF(OR(O122=0,I122=0),"",T122/I122-1)</f>
        <v/>
      </c>
      <c r="V122" s="18">
        <f>IF(O122=0,"PENDENTE",IF(O122&gt;=5,"COMPLETO","PARCIAL"))</f>
        <v/>
      </c>
    </row>
    <row r="123">
      <c r="A123" s="9" t="inlineStr">
        <is>
          <t>EXT-PISC-CABO</t>
        </is>
      </c>
      <c r="B123" s="10" t="inlineStr">
        <is>
          <t>externo</t>
        </is>
      </c>
      <c r="C123" s="11" t="inlineStr">
        <is>
          <t>Piscina: cabo 12 V dos LEDs</t>
        </is>
      </c>
      <c r="D123" s="10" t="inlineStr">
        <is>
          <t>m</t>
        </is>
      </c>
      <c r="E123" s="12" t="n">
        <v>34.5</v>
      </c>
      <c r="F123" s="13" t="n">
        <v>0</v>
      </c>
      <c r="G123" s="14">
        <f>E123*(1+F123)</f>
        <v/>
      </c>
      <c r="H123" s="15" t="n">
        <v>4.2</v>
      </c>
      <c r="I123" s="16">
        <f>G123*H123</f>
        <v/>
      </c>
      <c r="J123" s="17" t="n"/>
      <c r="K123" s="17" t="n"/>
      <c r="L123" s="17" t="n"/>
      <c r="M123" s="17" t="n"/>
      <c r="N123" s="17" t="n"/>
      <c r="O123" s="18">
        <f>COUNT(J123:N123)</f>
        <v/>
      </c>
      <c r="P123" s="19">
        <f>IF(O123=0,"",MIN(J123:N123))</f>
        <v/>
      </c>
      <c r="Q123" s="10">
        <f>IF(O123=0,"",INDEX($J$3:$N$3,MATCH(P123,J123:N123,0)))</f>
        <v/>
      </c>
      <c r="R123" s="16">
        <f>IF(O123=0,"",AVERAGE(J123:N123))</f>
        <v/>
      </c>
      <c r="S123" s="20">
        <f>IF(O123&lt;2,"",MAX(J123:N123)/P123)</f>
        <v/>
      </c>
      <c r="T123" s="19">
        <f>IF(O123=0,"",G123*P123)</f>
        <v/>
      </c>
      <c r="U123" s="21">
        <f>IF(OR(O123=0,I123=0),"",T123/I123-1)</f>
        <v/>
      </c>
      <c r="V123" s="18">
        <f>IF(O123=0,"PENDENTE",IF(O123&gt;=5,"COMPLETO","PARCIAL"))</f>
        <v/>
      </c>
    </row>
    <row r="124">
      <c r="A124" s="9" t="inlineStr">
        <is>
          <t>EXT-PISC-CXP</t>
        </is>
      </c>
      <c r="B124" s="10" t="inlineStr">
        <is>
          <t>externo</t>
        </is>
      </c>
      <c r="C124" s="11" t="inlineStr">
        <is>
          <t>Piscina: caixa de passagem estanque no deck</t>
        </is>
      </c>
      <c r="D124" s="10" t="inlineStr">
        <is>
          <t>un</t>
        </is>
      </c>
      <c r="E124" s="12" t="n">
        <v>3</v>
      </c>
      <c r="F124" s="13" t="n">
        <v>0</v>
      </c>
      <c r="G124" s="14">
        <f>E124*(1+F124)</f>
        <v/>
      </c>
      <c r="H124" s="15" t="n">
        <v>35</v>
      </c>
      <c r="I124" s="16">
        <f>G124*H124</f>
        <v/>
      </c>
      <c r="J124" s="17" t="n"/>
      <c r="K124" s="17" t="n"/>
      <c r="L124" s="17" t="n"/>
      <c r="M124" s="17" t="n"/>
      <c r="N124" s="17" t="n"/>
      <c r="O124" s="18">
        <f>COUNT(J124:N124)</f>
        <v/>
      </c>
      <c r="P124" s="19">
        <f>IF(O124=0,"",MIN(J124:N124))</f>
        <v/>
      </c>
      <c r="Q124" s="10">
        <f>IF(O124=0,"",INDEX($J$3:$N$3,MATCH(P124,J124:N124,0)))</f>
        <v/>
      </c>
      <c r="R124" s="16">
        <f>IF(O124=0,"",AVERAGE(J124:N124))</f>
        <v/>
      </c>
      <c r="S124" s="20">
        <f>IF(O124&lt;2,"",MAX(J124:N124)/P124)</f>
        <v/>
      </c>
      <c r="T124" s="19">
        <f>IF(O124=0,"",G124*P124)</f>
        <v/>
      </c>
      <c r="U124" s="21">
        <f>IF(OR(O124=0,I124=0),"",T124/I124-1)</f>
        <v/>
      </c>
      <c r="V124" s="18">
        <f>IF(O124=0,"PENDENTE",IF(O124&gt;=5,"COMPLETO","PARCIAL"))</f>
        <v/>
      </c>
    </row>
    <row r="125">
      <c r="A125" s="9" t="inlineStr">
        <is>
          <t>EXT-PISC-ASP</t>
        </is>
      </c>
      <c r="B125" s="10" t="inlineStr">
        <is>
          <t>externo</t>
        </is>
      </c>
      <c r="C125" s="11" t="inlineStr">
        <is>
          <t>Piscina: tomada de aspiracao</t>
        </is>
      </c>
      <c r="D125" s="10" t="inlineStr">
        <is>
          <t>un</t>
        </is>
      </c>
      <c r="E125" s="12" t="n">
        <v>1</v>
      </c>
      <c r="F125" s="13" t="n">
        <v>0</v>
      </c>
      <c r="G125" s="14">
        <f>E125*(1+F125)</f>
        <v/>
      </c>
      <c r="H125" s="15" t="n">
        <v>60</v>
      </c>
      <c r="I125" s="16">
        <f>G125*H125</f>
        <v/>
      </c>
      <c r="J125" s="17" t="n"/>
      <c r="K125" s="17" t="n"/>
      <c r="L125" s="17" t="n"/>
      <c r="M125" s="17" t="n"/>
      <c r="N125" s="17" t="n"/>
      <c r="O125" s="18">
        <f>COUNT(J125:N125)</f>
        <v/>
      </c>
      <c r="P125" s="19">
        <f>IF(O125=0,"",MIN(J125:N125))</f>
        <v/>
      </c>
      <c r="Q125" s="10">
        <f>IF(O125=0,"",INDEX($J$3:$N$3,MATCH(P125,J125:N125,0)))</f>
        <v/>
      </c>
      <c r="R125" s="16">
        <f>IF(O125=0,"",AVERAGE(J125:N125))</f>
        <v/>
      </c>
      <c r="S125" s="20">
        <f>IF(O125&lt;2,"",MAX(J125:N125)/P125)</f>
        <v/>
      </c>
      <c r="T125" s="19">
        <f>IF(O125=0,"",G125*P125)</f>
        <v/>
      </c>
      <c r="U125" s="21">
        <f>IF(OR(O125=0,I125=0),"",T125/I125-1)</f>
        <v/>
      </c>
      <c r="V125" s="18">
        <f>IF(O125=0,"PENDENTE",IF(O125&gt;=5,"COMPLETO","PARCIAL"))</f>
        <v/>
      </c>
    </row>
    <row r="126">
      <c r="A126" s="9" t="inlineStr">
        <is>
          <t>MO-MON</t>
        </is>
      </c>
      <c r="B126" s="10" t="inlineStr">
        <is>
          <t>servico</t>
        </is>
      </c>
      <c r="C126" s="11" t="inlineStr">
        <is>
          <t>Mao de obra de montagem</t>
        </is>
      </c>
      <c r="D126" s="10" t="inlineStr">
        <is>
          <t>h</t>
        </is>
      </c>
      <c r="E126" s="12" t="n">
        <v>927.5</v>
      </c>
      <c r="F126" s="13" t="n">
        <v>0</v>
      </c>
      <c r="G126" s="14">
        <f>E126*(1+F126)</f>
        <v/>
      </c>
      <c r="H126" s="15" t="n">
        <v>42</v>
      </c>
      <c r="I126" s="16">
        <f>G126*H126</f>
        <v/>
      </c>
      <c r="J126" s="17" t="n"/>
      <c r="K126" s="17" t="n"/>
      <c r="L126" s="17" t="n"/>
      <c r="M126" s="17" t="n"/>
      <c r="N126" s="17" t="n"/>
      <c r="O126" s="18">
        <f>COUNT(J126:N126)</f>
        <v/>
      </c>
      <c r="P126" s="19">
        <f>IF(O126=0,"",MIN(J126:N126))</f>
        <v/>
      </c>
      <c r="Q126" s="10">
        <f>IF(O126=0,"",INDEX($J$3:$N$3,MATCH(P126,J126:N126,0)))</f>
        <v/>
      </c>
      <c r="R126" s="16">
        <f>IF(O126=0,"",AVERAGE(J126:N126))</f>
        <v/>
      </c>
      <c r="S126" s="20">
        <f>IF(O126&lt;2,"",MAX(J126:N126)/P126)</f>
        <v/>
      </c>
      <c r="T126" s="19">
        <f>IF(O126=0,"",G126*P126)</f>
        <v/>
      </c>
      <c r="U126" s="21">
        <f>IF(OR(O126=0,I126=0),"",T126/I126-1)</f>
        <v/>
      </c>
      <c r="V126" s="18">
        <f>IF(O126=0,"PENDENTE",IF(O126&gt;=5,"COMPLETO","PARCIAL"))</f>
        <v/>
      </c>
    </row>
    <row r="127">
      <c r="A127" s="9" t="inlineStr">
        <is>
          <t>MO-FAB</t>
        </is>
      </c>
      <c r="B127" s="10" t="inlineStr">
        <is>
          <t>servico</t>
        </is>
      </c>
      <c r="C127" s="11" t="inlineStr">
        <is>
          <t>Mao de obra de fabrica</t>
        </is>
      </c>
      <c r="D127" s="10" t="inlineStr">
        <is>
          <t>h</t>
        </is>
      </c>
      <c r="E127" s="12" t="n">
        <v>54.6</v>
      </c>
      <c r="F127" s="13" t="n">
        <v>0</v>
      </c>
      <c r="G127" s="14">
        <f>E127*(1+F127)</f>
        <v/>
      </c>
      <c r="H127" s="15" t="n">
        <v>38</v>
      </c>
      <c r="I127" s="16">
        <f>G127*H127</f>
        <v/>
      </c>
      <c r="J127" s="17" t="n"/>
      <c r="K127" s="17" t="n"/>
      <c r="L127" s="17" t="n"/>
      <c r="M127" s="17" t="n"/>
      <c r="N127" s="17" t="n"/>
      <c r="O127" s="18">
        <f>COUNT(J127:N127)</f>
        <v/>
      </c>
      <c r="P127" s="19">
        <f>IF(O127=0,"",MIN(J127:N127))</f>
        <v/>
      </c>
      <c r="Q127" s="10">
        <f>IF(O127=0,"",INDEX($J$3:$N$3,MATCH(P127,J127:N127,0)))</f>
        <v/>
      </c>
      <c r="R127" s="16">
        <f>IF(O127=0,"",AVERAGE(J127:N127))</f>
        <v/>
      </c>
      <c r="S127" s="20">
        <f>IF(O127&lt;2,"",MAX(J127:N127)/P127)</f>
        <v/>
      </c>
      <c r="T127" s="19">
        <f>IF(O127=0,"",G127*P127)</f>
        <v/>
      </c>
      <c r="U127" s="21">
        <f>IF(OR(O127=0,I127=0),"",T127/I127-1)</f>
        <v/>
      </c>
      <c r="V127" s="18">
        <f>IF(O127=0,"PENDENTE",IF(O127&gt;=5,"COMPLETO","PARCIAL"))</f>
        <v/>
      </c>
    </row>
    <row r="128">
      <c r="A128" s="9" t="inlineStr">
        <is>
          <t>MAR-ARM</t>
        </is>
      </c>
      <c r="B128" s="10" t="inlineStr">
        <is>
          <t>marcenaria</t>
        </is>
      </c>
      <c r="C128" s="11" t="inlineStr">
        <is>
          <t>Armario de MDF sob medida (frente)</t>
        </is>
      </c>
      <c r="D128" s="10" t="inlineStr">
        <is>
          <t>m2</t>
        </is>
      </c>
      <c r="E128" s="12" t="n">
        <v>48.64</v>
      </c>
      <c r="F128" s="13" t="n">
        <v>0</v>
      </c>
      <c r="G128" s="14">
        <f>E128*(1+F128)</f>
        <v/>
      </c>
      <c r="H128" s="15" t="n">
        <v>980</v>
      </c>
      <c r="I128" s="16">
        <f>G128*H128</f>
        <v/>
      </c>
      <c r="J128" s="17" t="n"/>
      <c r="K128" s="17" t="n"/>
      <c r="L128" s="17" t="n"/>
      <c r="M128" s="17" t="n"/>
      <c r="N128" s="17" t="n"/>
      <c r="O128" s="18">
        <f>COUNT(J128:N128)</f>
        <v/>
      </c>
      <c r="P128" s="19">
        <f>IF(O128=0,"",MIN(J128:N128))</f>
        <v/>
      </c>
      <c r="Q128" s="10">
        <f>IF(O128=0,"",INDEX($J$3:$N$3,MATCH(P128,J128:N128,0)))</f>
        <v/>
      </c>
      <c r="R128" s="16">
        <f>IF(O128=0,"",AVERAGE(J128:N128))</f>
        <v/>
      </c>
      <c r="S128" s="20">
        <f>IF(O128&lt;2,"",MAX(J128:N128)/P128)</f>
        <v/>
      </c>
      <c r="T128" s="19">
        <f>IF(O128=0,"",G128*P128)</f>
        <v/>
      </c>
      <c r="U128" s="21">
        <f>IF(OR(O128=0,I128=0),"",T128/I128-1)</f>
        <v/>
      </c>
      <c r="V128" s="18">
        <f>IF(O128=0,"PENDENTE",IF(O128&gt;=5,"COMPLETO","PARCIAL"))</f>
        <v/>
      </c>
    </row>
    <row r="129">
      <c r="A129" s="9" t="inlineStr">
        <is>
          <t>REV-PISO</t>
        </is>
      </c>
      <c r="B129" s="10" t="inlineStr">
        <is>
          <t>revestimento</t>
        </is>
      </c>
      <c r="C129" s="11" t="inlineStr">
        <is>
          <t>Piso interno (porcelanato retificado)</t>
        </is>
      </c>
      <c r="D129" s="10" t="inlineStr">
        <is>
          <t>m2</t>
        </is>
      </c>
      <c r="E129" s="12" t="n">
        <v>366.3</v>
      </c>
      <c r="F129" s="13" t="n">
        <v>0</v>
      </c>
      <c r="G129" s="14">
        <f>E129*(1+F129)</f>
        <v/>
      </c>
      <c r="H129" s="15" t="n">
        <v>118</v>
      </c>
      <c r="I129" s="16">
        <f>G129*H129</f>
        <v/>
      </c>
      <c r="J129" s="17" t="n"/>
      <c r="K129" s="17" t="n"/>
      <c r="L129" s="17" t="n"/>
      <c r="M129" s="17" t="n"/>
      <c r="N129" s="17" t="n"/>
      <c r="O129" s="18">
        <f>COUNT(J129:N129)</f>
        <v/>
      </c>
      <c r="P129" s="19">
        <f>IF(O129=0,"",MIN(J129:N129))</f>
        <v/>
      </c>
      <c r="Q129" s="10">
        <f>IF(O129=0,"",INDEX($J$3:$N$3,MATCH(P129,J129:N129,0)))</f>
        <v/>
      </c>
      <c r="R129" s="16">
        <f>IF(O129=0,"",AVERAGE(J129:N129))</f>
        <v/>
      </c>
      <c r="S129" s="20">
        <f>IF(O129&lt;2,"",MAX(J129:N129)/P129)</f>
        <v/>
      </c>
      <c r="T129" s="19">
        <f>IF(O129=0,"",G129*P129)</f>
        <v/>
      </c>
      <c r="U129" s="21">
        <f>IF(OR(O129=0,I129=0),"",T129/I129-1)</f>
        <v/>
      </c>
      <c r="V129" s="18">
        <f>IF(O129=0,"PENDENTE",IF(O129&gt;=5,"COMPLETO","PARCIAL"))</f>
        <v/>
      </c>
    </row>
    <row r="130">
      <c r="A130" s="9" t="inlineStr">
        <is>
          <t>FV-MODULO</t>
        </is>
      </c>
      <c r="B130" s="10" t="inlineStr">
        <is>
          <t>eletrica</t>
        </is>
      </c>
      <c r="C130" s="11" t="inlineStr">
        <is>
          <t>Modulo fotovoltaico 550 Wp</t>
        </is>
      </c>
      <c r="D130" s="10" t="inlineStr">
        <is>
          <t>un</t>
        </is>
      </c>
      <c r="E130" s="12" t="n">
        <v>30</v>
      </c>
      <c r="F130" s="13" t="n">
        <v>0</v>
      </c>
      <c r="G130" s="14">
        <f>E130*(1+F130)</f>
        <v/>
      </c>
      <c r="H130" s="15" t="n">
        <v>780</v>
      </c>
      <c r="I130" s="16">
        <f>G130*H130</f>
        <v/>
      </c>
      <c r="J130" s="17" t="n"/>
      <c r="K130" s="17" t="n"/>
      <c r="L130" s="17" t="n"/>
      <c r="M130" s="17" t="n"/>
      <c r="N130" s="17" t="n"/>
      <c r="O130" s="18">
        <f>COUNT(J130:N130)</f>
        <v/>
      </c>
      <c r="P130" s="19">
        <f>IF(O130=0,"",MIN(J130:N130))</f>
        <v/>
      </c>
      <c r="Q130" s="10">
        <f>IF(O130=0,"",INDEX($J$3:$N$3,MATCH(P130,J130:N130,0)))</f>
        <v/>
      </c>
      <c r="R130" s="16">
        <f>IF(O130=0,"",AVERAGE(J130:N130))</f>
        <v/>
      </c>
      <c r="S130" s="20">
        <f>IF(O130&lt;2,"",MAX(J130:N130)/P130)</f>
        <v/>
      </c>
      <c r="T130" s="19">
        <f>IF(O130=0,"",G130*P130)</f>
        <v/>
      </c>
      <c r="U130" s="21">
        <f>IF(OR(O130=0,I130=0),"",T130/I130-1)</f>
        <v/>
      </c>
      <c r="V130" s="18">
        <f>IF(O130=0,"PENDENTE",IF(O130&gt;=5,"COMPLETO","PARCIAL"))</f>
        <v/>
      </c>
    </row>
    <row r="131">
      <c r="A131" s="9" t="inlineStr">
        <is>
          <t>PIN-PAREDE</t>
        </is>
      </c>
      <c r="B131" s="10" t="inlineStr">
        <is>
          <t>pintura</t>
        </is>
      </c>
      <c r="C131" s="11" t="inlineStr">
        <is>
          <t>Pintura de parede interna (latex acrilico, 2 demaos)</t>
        </is>
      </c>
      <c r="D131" s="10" t="inlineStr">
        <is>
          <t>m2</t>
        </is>
      </c>
      <c r="E131" s="12" t="n">
        <v>701.7</v>
      </c>
      <c r="F131" s="13" t="n">
        <v>0</v>
      </c>
      <c r="G131" s="14">
        <f>E131*(1+F131)</f>
        <v/>
      </c>
      <c r="H131" s="15" t="n">
        <v>26</v>
      </c>
      <c r="I131" s="16">
        <f>G131*H131</f>
        <v/>
      </c>
      <c r="J131" s="17" t="n"/>
      <c r="K131" s="17" t="n"/>
      <c r="L131" s="17" t="n"/>
      <c r="M131" s="17" t="n"/>
      <c r="N131" s="17" t="n"/>
      <c r="O131" s="18">
        <f>COUNT(J131:N131)</f>
        <v/>
      </c>
      <c r="P131" s="19">
        <f>IF(O131=0,"",MIN(J131:N131))</f>
        <v/>
      </c>
      <c r="Q131" s="10">
        <f>IF(O131=0,"",INDEX($J$3:$N$3,MATCH(P131,J131:N131,0)))</f>
        <v/>
      </c>
      <c r="R131" s="16">
        <f>IF(O131=0,"",AVERAGE(J131:N131))</f>
        <v/>
      </c>
      <c r="S131" s="20">
        <f>IF(O131&lt;2,"",MAX(J131:N131)/P131)</f>
        <v/>
      </c>
      <c r="T131" s="19">
        <f>IF(O131=0,"",G131*P131)</f>
        <v/>
      </c>
      <c r="U131" s="21">
        <f>IF(OR(O131=0,I131=0),"",T131/I131-1)</f>
        <v/>
      </c>
      <c r="V131" s="18">
        <f>IF(O131=0,"PENDENTE",IF(O131&gt;=5,"COMPLETO","PARCIAL"))</f>
        <v/>
      </c>
    </row>
    <row r="132">
      <c r="A132" s="9" t="inlineStr">
        <is>
          <t>MAR-GAB</t>
        </is>
      </c>
      <c r="B132" s="10" t="inlineStr">
        <is>
          <t>marcenaria</t>
        </is>
      </c>
      <c r="C132" s="11" t="inlineStr">
        <is>
          <t>Gabinete sob bancada, sob medida</t>
        </is>
      </c>
      <c r="D132" s="10" t="inlineStr">
        <is>
          <t>m</t>
        </is>
      </c>
      <c r="E132" s="12" t="n">
        <v>11.4</v>
      </c>
      <c r="F132" s="13" t="n">
        <v>0</v>
      </c>
      <c r="G132" s="14">
        <f>E132*(1+F132)</f>
        <v/>
      </c>
      <c r="H132" s="15" t="n">
        <v>1450</v>
      </c>
      <c r="I132" s="16">
        <f>G132*H132</f>
        <v/>
      </c>
      <c r="J132" s="17" t="n"/>
      <c r="K132" s="17" t="n"/>
      <c r="L132" s="17" t="n"/>
      <c r="M132" s="17" t="n"/>
      <c r="N132" s="17" t="n"/>
      <c r="O132" s="18">
        <f>COUNT(J132:N132)</f>
        <v/>
      </c>
      <c r="P132" s="19">
        <f>IF(O132=0,"",MIN(J132:N132))</f>
        <v/>
      </c>
      <c r="Q132" s="10">
        <f>IF(O132=0,"",INDEX($J$3:$N$3,MATCH(P132,J132:N132,0)))</f>
        <v/>
      </c>
      <c r="R132" s="16">
        <f>IF(O132=0,"",AVERAGE(J132:N132))</f>
        <v/>
      </c>
      <c r="S132" s="20">
        <f>IF(O132&lt;2,"",MAX(J132:N132)/P132)</f>
        <v/>
      </c>
      <c r="T132" s="19">
        <f>IF(O132=0,"",G132*P132)</f>
        <v/>
      </c>
      <c r="U132" s="21">
        <f>IF(OR(O132=0,I132=0),"",T132/I132-1)</f>
        <v/>
      </c>
      <c r="V132" s="18">
        <f>IF(O132=0,"PENDENTE",IF(O132&gt;=5,"COMPLETO","PARCIAL"))</f>
        <v/>
      </c>
    </row>
    <row r="133">
      <c r="A133" s="9" t="inlineStr">
        <is>
          <t>REV-PAREDE</t>
        </is>
      </c>
      <c r="B133" s="10" t="inlineStr">
        <is>
          <t>revestimento</t>
        </is>
      </c>
      <c r="C133" s="11" t="inlineStr">
        <is>
          <t>Revestimento ceramico de parede em area molhada</t>
        </is>
      </c>
      <c r="D133" s="10" t="inlineStr">
        <is>
          <t>m2</t>
        </is>
      </c>
      <c r="E133" s="12" t="n">
        <v>155.5</v>
      </c>
      <c r="F133" s="13" t="n">
        <v>0</v>
      </c>
      <c r="G133" s="14">
        <f>E133*(1+F133)</f>
        <v/>
      </c>
      <c r="H133" s="15" t="n">
        <v>96</v>
      </c>
      <c r="I133" s="16">
        <f>G133*H133</f>
        <v/>
      </c>
      <c r="J133" s="17" t="n"/>
      <c r="K133" s="17" t="n"/>
      <c r="L133" s="17" t="n"/>
      <c r="M133" s="17" t="n"/>
      <c r="N133" s="17" t="n"/>
      <c r="O133" s="18">
        <f>COUNT(J133:N133)</f>
        <v/>
      </c>
      <c r="P133" s="19">
        <f>IF(O133=0,"",MIN(J133:N133))</f>
        <v/>
      </c>
      <c r="Q133" s="10">
        <f>IF(O133=0,"",INDEX($J$3:$N$3,MATCH(P133,J133:N133,0)))</f>
        <v/>
      </c>
      <c r="R133" s="16">
        <f>IF(O133=0,"",AVERAGE(J133:N133))</f>
        <v/>
      </c>
      <c r="S133" s="20">
        <f>IF(O133&lt;2,"",MAX(J133:N133)/P133)</f>
        <v/>
      </c>
      <c r="T133" s="19">
        <f>IF(O133=0,"",G133*P133)</f>
        <v/>
      </c>
      <c r="U133" s="21">
        <f>IF(OR(O133=0,I133=0),"",T133/I133-1)</f>
        <v/>
      </c>
      <c r="V133" s="18">
        <f>IF(O133=0,"PENDENTE",IF(O133&gt;=5,"COMPLETO","PARCIAL"))</f>
        <v/>
      </c>
    </row>
    <row r="134">
      <c r="A134" s="9" t="inlineStr">
        <is>
          <t>EQP-SPLIT18</t>
        </is>
      </c>
      <c r="B134" s="10" t="inlineStr">
        <is>
          <t>equipamentos</t>
        </is>
      </c>
      <c r="C134" s="11" t="inlineStr">
        <is>
          <t>Split inverter 18.000 BTU/h</t>
        </is>
      </c>
      <c r="D134" s="10" t="inlineStr">
        <is>
          <t>un</t>
        </is>
      </c>
      <c r="E134" s="12" t="n">
        <v>4</v>
      </c>
      <c r="F134" s="13" t="n">
        <v>0</v>
      </c>
      <c r="G134" s="14">
        <f>E134*(1+F134)</f>
        <v/>
      </c>
      <c r="H134" s="15" t="n">
        <v>3200</v>
      </c>
      <c r="I134" s="16">
        <f>G134*H134</f>
        <v/>
      </c>
      <c r="J134" s="17" t="n"/>
      <c r="K134" s="17" t="n"/>
      <c r="L134" s="17" t="n"/>
      <c r="M134" s="17" t="n"/>
      <c r="N134" s="17" t="n"/>
      <c r="O134" s="18">
        <f>COUNT(J134:N134)</f>
        <v/>
      </c>
      <c r="P134" s="19">
        <f>IF(O134=0,"",MIN(J134:N134))</f>
        <v/>
      </c>
      <c r="Q134" s="10">
        <f>IF(O134=0,"",INDEX($J$3:$N$3,MATCH(P134,J134:N134,0)))</f>
        <v/>
      </c>
      <c r="R134" s="16">
        <f>IF(O134=0,"",AVERAGE(J134:N134))</f>
        <v/>
      </c>
      <c r="S134" s="20">
        <f>IF(O134&lt;2,"",MAX(J134:N134)/P134)</f>
        <v/>
      </c>
      <c r="T134" s="19">
        <f>IF(O134=0,"",G134*P134)</f>
        <v/>
      </c>
      <c r="U134" s="21">
        <f>IF(OR(O134=0,I134=0),"",T134/I134-1)</f>
        <v/>
      </c>
      <c r="V134" s="18">
        <f>IF(O134=0,"PENDENTE",IF(O134&gt;=5,"COMPLETO","PARCIAL"))</f>
        <v/>
      </c>
    </row>
    <row r="135">
      <c r="A135" s="9" t="inlineStr">
        <is>
          <t>LOU-BOX</t>
        </is>
      </c>
      <c r="B135" s="10" t="inlineStr">
        <is>
          <t>loucas</t>
        </is>
      </c>
      <c r="C135" s="11" t="inlineStr">
        <is>
          <t>Box de vidro temperado 8 mm, 1.900 mm de altura</t>
        </is>
      </c>
      <c r="D135" s="10" t="inlineStr">
        <is>
          <t>m2</t>
        </is>
      </c>
      <c r="E135" s="12" t="n">
        <v>16.1</v>
      </c>
      <c r="F135" s="13" t="n">
        <v>0</v>
      </c>
      <c r="G135" s="14">
        <f>E135*(1+F135)</f>
        <v/>
      </c>
      <c r="H135" s="15" t="n">
        <v>620</v>
      </c>
      <c r="I135" s="16">
        <f>G135*H135</f>
        <v/>
      </c>
      <c r="J135" s="17" t="n"/>
      <c r="K135" s="17" t="n"/>
      <c r="L135" s="17" t="n"/>
      <c r="M135" s="17" t="n"/>
      <c r="N135" s="17" t="n"/>
      <c r="O135" s="18">
        <f>COUNT(J135:N135)</f>
        <v/>
      </c>
      <c r="P135" s="19">
        <f>IF(O135=0,"",MIN(J135:N135))</f>
        <v/>
      </c>
      <c r="Q135" s="10">
        <f>IF(O135=0,"",INDEX($J$3:$N$3,MATCH(P135,J135:N135,0)))</f>
        <v/>
      </c>
      <c r="R135" s="16">
        <f>IF(O135=0,"",AVERAGE(J135:N135))</f>
        <v/>
      </c>
      <c r="S135" s="20">
        <f>IF(O135&lt;2,"",MAX(J135:N135)/P135)</f>
        <v/>
      </c>
      <c r="T135" s="19">
        <f>IF(O135=0,"",G135*P135)</f>
        <v/>
      </c>
      <c r="U135" s="21">
        <f>IF(OR(O135=0,I135=0),"",T135/I135-1)</f>
        <v/>
      </c>
      <c r="V135" s="18">
        <f>IF(O135=0,"PENDENTE",IF(O135&gt;=5,"COMPLETO","PARCIAL"))</f>
        <v/>
      </c>
    </row>
    <row r="136">
      <c r="A136" s="9" t="inlineStr">
        <is>
          <t>REV-ARG</t>
        </is>
      </c>
      <c r="B136" s="10" t="inlineStr">
        <is>
          <t>revestimento</t>
        </is>
      </c>
      <c r="C136" s="11" t="inlineStr">
        <is>
          <t>Argamassa colante AC-III e regularizacao</t>
        </is>
      </c>
      <c r="D136" s="10" t="inlineStr">
        <is>
          <t>m2</t>
        </is>
      </c>
      <c r="E136" s="12" t="n">
        <v>521.8</v>
      </c>
      <c r="F136" s="13" t="n">
        <v>0</v>
      </c>
      <c r="G136" s="14">
        <f>E136*(1+F136)</f>
        <v/>
      </c>
      <c r="H136" s="15" t="n">
        <v>18</v>
      </c>
      <c r="I136" s="16">
        <f>G136*H136</f>
        <v/>
      </c>
      <c r="J136" s="17" t="n"/>
      <c r="K136" s="17" t="n"/>
      <c r="L136" s="17" t="n"/>
      <c r="M136" s="17" t="n"/>
      <c r="N136" s="17" t="n"/>
      <c r="O136" s="18">
        <f>COUNT(J136:N136)</f>
        <v/>
      </c>
      <c r="P136" s="19">
        <f>IF(O136=0,"",MIN(J136:N136))</f>
        <v/>
      </c>
      <c r="Q136" s="10">
        <f>IF(O136=0,"",INDEX($J$3:$N$3,MATCH(P136,J136:N136,0)))</f>
        <v/>
      </c>
      <c r="R136" s="16">
        <f>IF(O136=0,"",AVERAGE(J136:N136))</f>
        <v/>
      </c>
      <c r="S136" s="20">
        <f>IF(O136&lt;2,"",MAX(J136:N136)/P136)</f>
        <v/>
      </c>
      <c r="T136" s="19">
        <f>IF(O136=0,"",G136*P136)</f>
        <v/>
      </c>
      <c r="U136" s="21">
        <f>IF(OR(O136=0,I136=0),"",T136/I136-1)</f>
        <v/>
      </c>
      <c r="V136" s="18">
        <f>IF(O136=0,"PENDENTE",IF(O136&gt;=5,"COMPLETO","PARCIAL"))</f>
        <v/>
      </c>
    </row>
    <row r="137">
      <c r="A137" s="9" t="inlineStr">
        <is>
          <t>FV-INVERSOR</t>
        </is>
      </c>
      <c r="B137" s="10" t="inlineStr">
        <is>
          <t>eletrica</t>
        </is>
      </c>
      <c r="C137" s="11" t="inlineStr">
        <is>
          <t>Inversor string 15 kW, trifasico 220 V</t>
        </is>
      </c>
      <c r="D137" s="10" t="inlineStr">
        <is>
          <t>kW</t>
        </is>
      </c>
      <c r="E137" s="12" t="n">
        <v>15</v>
      </c>
      <c r="F137" s="13" t="n">
        <v>0</v>
      </c>
      <c r="G137" s="14">
        <f>E137*(1+F137)</f>
        <v/>
      </c>
      <c r="H137" s="15" t="n">
        <v>620</v>
      </c>
      <c r="I137" s="16">
        <f>G137*H137</f>
        <v/>
      </c>
      <c r="J137" s="17" t="n"/>
      <c r="K137" s="17" t="n"/>
      <c r="L137" s="17" t="n"/>
      <c r="M137" s="17" t="n"/>
      <c r="N137" s="17" t="n"/>
      <c r="O137" s="18">
        <f>COUNT(J137:N137)</f>
        <v/>
      </c>
      <c r="P137" s="19">
        <f>IF(O137=0,"",MIN(J137:N137))</f>
        <v/>
      </c>
      <c r="Q137" s="10">
        <f>IF(O137=0,"",INDEX($J$3:$N$3,MATCH(P137,J137:N137,0)))</f>
        <v/>
      </c>
      <c r="R137" s="16">
        <f>IF(O137=0,"",AVERAGE(J137:N137))</f>
        <v/>
      </c>
      <c r="S137" s="20">
        <f>IF(O137&lt;2,"",MAX(J137:N137)/P137)</f>
        <v/>
      </c>
      <c r="T137" s="19">
        <f>IF(O137=0,"",G137*P137)</f>
        <v/>
      </c>
      <c r="U137" s="21">
        <f>IF(OR(O137=0,I137=0),"",T137/I137-1)</f>
        <v/>
      </c>
      <c r="V137" s="18">
        <f>IF(O137=0,"PENDENTE",IF(O137&gt;=5,"COMPLETO","PARCIAL"))</f>
        <v/>
      </c>
    </row>
    <row r="138">
      <c r="A138" s="9" t="inlineStr">
        <is>
          <t>MAR-PRAT</t>
        </is>
      </c>
      <c r="B138" s="10" t="inlineStr">
        <is>
          <t>marcenaria</t>
        </is>
      </c>
      <c r="C138" s="11" t="inlineStr">
        <is>
          <t>Prateleira aberta, por metro de prateleira</t>
        </is>
      </c>
      <c r="D138" s="10" t="inlineStr">
        <is>
          <t>m</t>
        </is>
      </c>
      <c r="E138" s="12" t="n">
        <v>35.19</v>
      </c>
      <c r="F138" s="13" t="n">
        <v>0</v>
      </c>
      <c r="G138" s="14">
        <f>E138*(1+F138)</f>
        <v/>
      </c>
      <c r="H138" s="15" t="n">
        <v>260</v>
      </c>
      <c r="I138" s="16">
        <f>G138*H138</f>
        <v/>
      </c>
      <c r="J138" s="17" t="n"/>
      <c r="K138" s="17" t="n"/>
      <c r="L138" s="17" t="n"/>
      <c r="M138" s="17" t="n"/>
      <c r="N138" s="17" t="n"/>
      <c r="O138" s="18">
        <f>COUNT(J138:N138)</f>
        <v/>
      </c>
      <c r="P138" s="19">
        <f>IF(O138=0,"",MIN(J138:N138))</f>
        <v/>
      </c>
      <c r="Q138" s="10">
        <f>IF(O138=0,"",INDEX($J$3:$N$3,MATCH(P138,J138:N138,0)))</f>
        <v/>
      </c>
      <c r="R138" s="16">
        <f>IF(O138=0,"",AVERAGE(J138:N138))</f>
        <v/>
      </c>
      <c r="S138" s="20">
        <f>IF(O138&lt;2,"",MAX(J138:N138)/P138)</f>
        <v/>
      </c>
      <c r="T138" s="19">
        <f>IF(O138=0,"",G138*P138)</f>
        <v/>
      </c>
      <c r="U138" s="21">
        <f>IF(OR(O138=0,I138=0),"",T138/I138-1)</f>
        <v/>
      </c>
      <c r="V138" s="18">
        <f>IF(O138=0,"PENDENTE",IF(O138&gt;=5,"COMPLETO","PARCIAL"))</f>
        <v/>
      </c>
    </row>
    <row r="139">
      <c r="A139" s="9" t="inlineStr">
        <is>
          <t>FV-INSTAL</t>
        </is>
      </c>
      <c r="B139" s="10" t="inlineStr">
        <is>
          <t>eletrica</t>
        </is>
      </c>
      <c r="C139" s="11" t="inlineStr">
        <is>
          <t>Instalacao e comissionamento</t>
        </is>
      </c>
      <c r="D139" s="10" t="inlineStr">
        <is>
          <t>kWp</t>
        </is>
      </c>
      <c r="E139" s="12" t="n">
        <v>16.5</v>
      </c>
      <c r="F139" s="13" t="n">
        <v>0</v>
      </c>
      <c r="G139" s="14">
        <f>E139*(1+F139)</f>
        <v/>
      </c>
      <c r="H139" s="15" t="n">
        <v>550</v>
      </c>
      <c r="I139" s="16">
        <f>G139*H139</f>
        <v/>
      </c>
      <c r="J139" s="17" t="n"/>
      <c r="K139" s="17" t="n"/>
      <c r="L139" s="17" t="n"/>
      <c r="M139" s="17" t="n"/>
      <c r="N139" s="17" t="n"/>
      <c r="O139" s="18">
        <f>COUNT(J139:N139)</f>
        <v/>
      </c>
      <c r="P139" s="19">
        <f>IF(O139=0,"",MIN(J139:N139))</f>
        <v/>
      </c>
      <c r="Q139" s="10">
        <f>IF(O139=0,"",INDEX($J$3:$N$3,MATCH(P139,J139:N139,0)))</f>
        <v/>
      </c>
      <c r="R139" s="16">
        <f>IF(O139=0,"",AVERAGE(J139:N139))</f>
        <v/>
      </c>
      <c r="S139" s="20">
        <f>IF(O139&lt;2,"",MAX(J139:N139)/P139)</f>
        <v/>
      </c>
      <c r="T139" s="19">
        <f>IF(O139=0,"",G139*P139)</f>
        <v/>
      </c>
      <c r="U139" s="21">
        <f>IF(OR(O139=0,I139=0),"",T139/I139-1)</f>
        <v/>
      </c>
      <c r="V139" s="18">
        <f>IF(O139=0,"PENDENTE",IF(O139&gt;=5,"COMPLETO","PARCIAL"))</f>
        <v/>
      </c>
    </row>
    <row r="140">
      <c r="A140" s="9" t="inlineStr">
        <is>
          <t>MAR-TAMPO</t>
        </is>
      </c>
      <c r="B140" s="10" t="inlineStr">
        <is>
          <t>marcenaria</t>
        </is>
      </c>
      <c r="C140" s="11" t="inlineStr">
        <is>
          <t>Tampo de bancada (quartzo/granito)</t>
        </is>
      </c>
      <c r="D140" s="10" t="inlineStr">
        <is>
          <t>m2</t>
        </is>
      </c>
      <c r="E140" s="12" t="n">
        <v>6.84</v>
      </c>
      <c r="F140" s="13" t="n">
        <v>0</v>
      </c>
      <c r="G140" s="14">
        <f>E140*(1+F140)</f>
        <v/>
      </c>
      <c r="H140" s="15" t="n">
        <v>1250</v>
      </c>
      <c r="I140" s="16">
        <f>G140*H140</f>
        <v/>
      </c>
      <c r="J140" s="17" t="n"/>
      <c r="K140" s="17" t="n"/>
      <c r="L140" s="17" t="n"/>
      <c r="M140" s="17" t="n"/>
      <c r="N140" s="17" t="n"/>
      <c r="O140" s="18">
        <f>COUNT(J140:N140)</f>
        <v/>
      </c>
      <c r="P140" s="19">
        <f>IF(O140=0,"",MIN(J140:N140))</f>
        <v/>
      </c>
      <c r="Q140" s="10">
        <f>IF(O140=0,"",INDEX($J$3:$N$3,MATCH(P140,J140:N140,0)))</f>
        <v/>
      </c>
      <c r="R140" s="16">
        <f>IF(O140=0,"",AVERAGE(J140:N140))</f>
        <v/>
      </c>
      <c r="S140" s="20">
        <f>IF(O140&lt;2,"",MAX(J140:N140)/P140)</f>
        <v/>
      </c>
      <c r="T140" s="19">
        <f>IF(O140=0,"",G140*P140)</f>
        <v/>
      </c>
      <c r="U140" s="21">
        <f>IF(OR(O140=0,I140=0),"",T140/I140-1)</f>
        <v/>
      </c>
      <c r="V140" s="18">
        <f>IF(O140=0,"PENDENTE",IF(O140&gt;=5,"COMPLETO","PARCIAL"))</f>
        <v/>
      </c>
    </row>
    <row r="141">
      <c r="A141" s="9" t="inlineStr">
        <is>
          <t>FV-ESTRUTURA</t>
        </is>
      </c>
      <c r="B141" s="10" t="inlineStr">
        <is>
          <t>eletrica</t>
        </is>
      </c>
      <c r="C141" s="11" t="inlineStr">
        <is>
          <t>Estrutura de fixacao em aluminio sobre terca</t>
        </is>
      </c>
      <c r="D141" s="10" t="inlineStr">
        <is>
          <t>m2</t>
        </is>
      </c>
      <c r="E141" s="12" t="n">
        <v>89.09999999999999</v>
      </c>
      <c r="F141" s="13" t="n">
        <v>0</v>
      </c>
      <c r="G141" s="14">
        <f>E141*(1+F141)</f>
        <v/>
      </c>
      <c r="H141" s="15" t="n">
        <v>95</v>
      </c>
      <c r="I141" s="16">
        <f>G141*H141</f>
        <v/>
      </c>
      <c r="J141" s="17" t="n"/>
      <c r="K141" s="17" t="n"/>
      <c r="L141" s="17" t="n"/>
      <c r="M141" s="17" t="n"/>
      <c r="N141" s="17" t="n"/>
      <c r="O141" s="18">
        <f>COUNT(J141:N141)</f>
        <v/>
      </c>
      <c r="P141" s="19">
        <f>IF(O141=0,"",MIN(J141:N141))</f>
        <v/>
      </c>
      <c r="Q141" s="10">
        <f>IF(O141=0,"",INDEX($J$3:$N$3,MATCH(P141,J141:N141,0)))</f>
        <v/>
      </c>
      <c r="R141" s="16">
        <f>IF(O141=0,"",AVERAGE(J141:N141))</f>
        <v/>
      </c>
      <c r="S141" s="20">
        <f>IF(O141&lt;2,"",MAX(J141:N141)/P141)</f>
        <v/>
      </c>
      <c r="T141" s="19">
        <f>IF(O141=0,"",G141*P141)</f>
        <v/>
      </c>
      <c r="U141" s="21">
        <f>IF(OR(O141=0,I141=0),"",T141/I141-1)</f>
        <v/>
      </c>
      <c r="V141" s="18">
        <f>IF(O141=0,"PENDENTE",IF(O141&gt;=5,"COMPLETO","PARCIAL"))</f>
        <v/>
      </c>
    </row>
    <row r="142">
      <c r="A142" s="9" t="inlineStr">
        <is>
          <t>REV-RODAPE</t>
        </is>
      </c>
      <c r="B142" s="10" t="inlineStr">
        <is>
          <t>revestimento</t>
        </is>
      </c>
      <c r="C142" s="11" t="inlineStr">
        <is>
          <t>Rodape (poliestireno 100 mm, pintado)</t>
        </is>
      </c>
      <c r="D142" s="10" t="inlineStr">
        <is>
          <t>m</t>
        </is>
      </c>
      <c r="E142" s="12" t="n">
        <v>241.9</v>
      </c>
      <c r="F142" s="13" t="n">
        <v>0</v>
      </c>
      <c r="G142" s="14">
        <f>E142*(1+F142)</f>
        <v/>
      </c>
      <c r="H142" s="15" t="n">
        <v>34</v>
      </c>
      <c r="I142" s="16">
        <f>G142*H142</f>
        <v/>
      </c>
      <c r="J142" s="17" t="n"/>
      <c r="K142" s="17" t="n"/>
      <c r="L142" s="17" t="n"/>
      <c r="M142" s="17" t="n"/>
      <c r="N142" s="17" t="n"/>
      <c r="O142" s="18">
        <f>COUNT(J142:N142)</f>
        <v/>
      </c>
      <c r="P142" s="19">
        <f>IF(O142=0,"",MIN(J142:N142))</f>
        <v/>
      </c>
      <c r="Q142" s="10">
        <f>IF(O142=0,"",INDEX($J$3:$N$3,MATCH(P142,J142:N142,0)))</f>
        <v/>
      </c>
      <c r="R142" s="16">
        <f>IF(O142=0,"",AVERAGE(J142:N142))</f>
        <v/>
      </c>
      <c r="S142" s="20">
        <f>IF(O142&lt;2,"",MAX(J142:N142)/P142)</f>
        <v/>
      </c>
      <c r="T142" s="19">
        <f>IF(O142=0,"",G142*P142)</f>
        <v/>
      </c>
      <c r="U142" s="21">
        <f>IF(OR(O142=0,I142=0),"",T142/I142-1)</f>
        <v/>
      </c>
      <c r="V142" s="18">
        <f>IF(O142=0,"PENDENTE",IF(O142&gt;=5,"COMPLETO","PARCIAL"))</f>
        <v/>
      </c>
    </row>
    <row r="143">
      <c r="A143" s="9" t="inlineStr">
        <is>
          <t>PIN-TINTA</t>
        </is>
      </c>
      <c r="B143" s="10" t="inlineStr">
        <is>
          <t>pintura</t>
        </is>
      </c>
      <c r="C143" s="11" t="inlineStr">
        <is>
          <t>Tinta latex (2 demaos, rendimento 10 m2/L)</t>
        </is>
      </c>
      <c r="D143" s="10" t="inlineStr">
        <is>
          <t>L</t>
        </is>
      </c>
      <c r="E143" s="12" t="n">
        <v>193.7</v>
      </c>
      <c r="F143" s="13" t="n">
        <v>0</v>
      </c>
      <c r="G143" s="14">
        <f>E143*(1+F143)</f>
        <v/>
      </c>
      <c r="H143" s="15" t="n">
        <v>42</v>
      </c>
      <c r="I143" s="16">
        <f>G143*H143</f>
        <v/>
      </c>
      <c r="J143" s="17" t="n"/>
      <c r="K143" s="17" t="n"/>
      <c r="L143" s="17" t="n"/>
      <c r="M143" s="17" t="n"/>
      <c r="N143" s="17" t="n"/>
      <c r="O143" s="18">
        <f>COUNT(J143:N143)</f>
        <v/>
      </c>
      <c r="P143" s="19">
        <f>IF(O143=0,"",MIN(J143:N143))</f>
        <v/>
      </c>
      <c r="Q143" s="10">
        <f>IF(O143=0,"",INDEX($J$3:$N$3,MATCH(P143,J143:N143,0)))</f>
        <v/>
      </c>
      <c r="R143" s="16">
        <f>IF(O143=0,"",AVERAGE(J143:N143))</f>
        <v/>
      </c>
      <c r="S143" s="20">
        <f>IF(O143&lt;2,"",MAX(J143:N143)/P143)</f>
        <v/>
      </c>
      <c r="T143" s="19">
        <f>IF(O143=0,"",G143*P143)</f>
        <v/>
      </c>
      <c r="U143" s="21">
        <f>IF(OR(O143=0,I143=0),"",T143/I143-1)</f>
        <v/>
      </c>
      <c r="V143" s="18">
        <f>IF(O143=0,"PENDENTE",IF(O143&gt;=5,"COMPLETO","PARCIAL"))</f>
        <v/>
      </c>
    </row>
    <row r="144">
      <c r="A144" s="9" t="inlineStr">
        <is>
          <t>MAR-CABEC</t>
        </is>
      </c>
      <c r="B144" s="10" t="inlineStr">
        <is>
          <t>marcenaria</t>
        </is>
      </c>
      <c r="C144" s="11" t="inlineStr">
        <is>
          <t>Cabeceira estofada</t>
        </is>
      </c>
      <c r="D144" s="10" t="inlineStr">
        <is>
          <t>m2</t>
        </is>
      </c>
      <c r="E144" s="12" t="n">
        <v>10.96</v>
      </c>
      <c r="F144" s="13" t="n">
        <v>0</v>
      </c>
      <c r="G144" s="14">
        <f>E144*(1+F144)</f>
        <v/>
      </c>
      <c r="H144" s="15" t="n">
        <v>650</v>
      </c>
      <c r="I144" s="16">
        <f>G144*H144</f>
        <v/>
      </c>
      <c r="J144" s="17" t="n"/>
      <c r="K144" s="17" t="n"/>
      <c r="L144" s="17" t="n"/>
      <c r="M144" s="17" t="n"/>
      <c r="N144" s="17" t="n"/>
      <c r="O144" s="18">
        <f>COUNT(J144:N144)</f>
        <v/>
      </c>
      <c r="P144" s="19">
        <f>IF(O144=0,"",MIN(J144:N144))</f>
        <v/>
      </c>
      <c r="Q144" s="10">
        <f>IF(O144=0,"",INDEX($J$3:$N$3,MATCH(P144,J144:N144,0)))</f>
        <v/>
      </c>
      <c r="R144" s="16">
        <f>IF(O144=0,"",AVERAGE(J144:N144))</f>
        <v/>
      </c>
      <c r="S144" s="20">
        <f>IF(O144&lt;2,"",MAX(J144:N144)/P144)</f>
        <v/>
      </c>
      <c r="T144" s="19">
        <f>IF(O144=0,"",G144*P144)</f>
        <v/>
      </c>
      <c r="U144" s="21">
        <f>IF(OR(O144=0,I144=0),"",T144/I144-1)</f>
        <v/>
      </c>
      <c r="V144" s="18">
        <f>IF(O144=0,"PENDENTE",IF(O144&gt;=5,"COMPLETO","PARCIAL"))</f>
        <v/>
      </c>
    </row>
    <row r="145">
      <c r="A145" s="9" t="inlineStr">
        <is>
          <t>PIN-FORRO</t>
        </is>
      </c>
      <c r="B145" s="10" t="inlineStr">
        <is>
          <t>pintura</t>
        </is>
      </c>
      <c r="C145" s="11" t="inlineStr">
        <is>
          <t>Pintura de forro (latex PVA fosco)</t>
        </is>
      </c>
      <c r="D145" s="10" t="inlineStr">
        <is>
          <t>m2</t>
        </is>
      </c>
      <c r="E145" s="12" t="n">
        <v>266.8</v>
      </c>
      <c r="F145" s="13" t="n">
        <v>0</v>
      </c>
      <c r="G145" s="14">
        <f>E145*(1+F145)</f>
        <v/>
      </c>
      <c r="H145" s="15" t="n">
        <v>26</v>
      </c>
      <c r="I145" s="16">
        <f>G145*H145</f>
        <v/>
      </c>
      <c r="J145" s="17" t="n"/>
      <c r="K145" s="17" t="n"/>
      <c r="L145" s="17" t="n"/>
      <c r="M145" s="17" t="n"/>
      <c r="N145" s="17" t="n"/>
      <c r="O145" s="18">
        <f>COUNT(J145:N145)</f>
        <v/>
      </c>
      <c r="P145" s="19">
        <f>IF(O145=0,"",MIN(J145:N145))</f>
        <v/>
      </c>
      <c r="Q145" s="10">
        <f>IF(O145=0,"",INDEX($J$3:$N$3,MATCH(P145,J145:N145,0)))</f>
        <v/>
      </c>
      <c r="R145" s="16">
        <f>IF(O145=0,"",AVERAGE(J145:N145))</f>
        <v/>
      </c>
      <c r="S145" s="20">
        <f>IF(O145&lt;2,"",MAX(J145:N145)/P145)</f>
        <v/>
      </c>
      <c r="T145" s="19">
        <f>IF(O145=0,"",G145*P145)</f>
        <v/>
      </c>
      <c r="U145" s="21">
        <f>IF(OR(O145=0,I145=0),"",T145/I145-1)</f>
        <v/>
      </c>
      <c r="V145" s="18">
        <f>IF(O145=0,"PENDENTE",IF(O145&gt;=5,"COMPLETO","PARCIAL"))</f>
        <v/>
      </c>
    </row>
    <row r="146">
      <c r="A146" s="9" t="inlineStr">
        <is>
          <t>EQP-SPLIT9</t>
        </is>
      </c>
      <c r="B146" s="10" t="inlineStr">
        <is>
          <t>equipamentos</t>
        </is>
      </c>
      <c r="C146" s="11" t="inlineStr">
        <is>
          <t>Split inverter 9.000 BTU/h</t>
        </is>
      </c>
      <c r="D146" s="10" t="inlineStr">
        <is>
          <t>un</t>
        </is>
      </c>
      <c r="E146" s="12" t="n">
        <v>3</v>
      </c>
      <c r="F146" s="13" t="n">
        <v>0</v>
      </c>
      <c r="G146" s="14">
        <f>E146*(1+F146)</f>
        <v/>
      </c>
      <c r="H146" s="15" t="n">
        <v>2100</v>
      </c>
      <c r="I146" s="16">
        <f>G146*H146</f>
        <v/>
      </c>
      <c r="J146" s="17" t="n"/>
      <c r="K146" s="17" t="n"/>
      <c r="L146" s="17" t="n"/>
      <c r="M146" s="17" t="n"/>
      <c r="N146" s="17" t="n"/>
      <c r="O146" s="18">
        <f>COUNT(J146:N146)</f>
        <v/>
      </c>
      <c r="P146" s="19">
        <f>IF(O146=0,"",MIN(J146:N146))</f>
        <v/>
      </c>
      <c r="Q146" s="10">
        <f>IF(O146=0,"",INDEX($J$3:$N$3,MATCH(P146,J146:N146,0)))</f>
        <v/>
      </c>
      <c r="R146" s="16">
        <f>IF(O146=0,"",AVERAGE(J146:N146))</f>
        <v/>
      </c>
      <c r="S146" s="20">
        <f>IF(O146&lt;2,"",MAX(J146:N146)/P146)</f>
        <v/>
      </c>
      <c r="T146" s="19">
        <f>IF(O146=0,"",G146*P146)</f>
        <v/>
      </c>
      <c r="U146" s="21">
        <f>IF(OR(O146=0,I146=0),"",T146/I146-1)</f>
        <v/>
      </c>
      <c r="V146" s="18">
        <f>IF(O146=0,"PENDENTE",IF(O146&gt;=5,"COMPLETO","PARCIAL"))</f>
        <v/>
      </c>
    </row>
    <row r="147">
      <c r="A147" s="9" t="inlineStr">
        <is>
          <t>LUM-DOWNLIGHT18</t>
        </is>
      </c>
      <c r="B147" s="10" t="inlineStr">
        <is>
          <t>eletrica</t>
        </is>
      </c>
      <c r="C147" s="11" t="inlineStr">
        <is>
          <t>Downlight LED embutido 18 W</t>
        </is>
      </c>
      <c r="D147" s="10" t="inlineStr">
        <is>
          <t>un</t>
        </is>
      </c>
      <c r="E147" s="12" t="n">
        <v>45</v>
      </c>
      <c r="F147" s="13" t="n">
        <v>0</v>
      </c>
      <c r="G147" s="14">
        <f>E147*(1+F147)</f>
        <v/>
      </c>
      <c r="H147" s="15" t="n">
        <v>128</v>
      </c>
      <c r="I147" s="16">
        <f>G147*H147</f>
        <v/>
      </c>
      <c r="J147" s="17" t="n"/>
      <c r="K147" s="17" t="n"/>
      <c r="L147" s="17" t="n"/>
      <c r="M147" s="17" t="n"/>
      <c r="N147" s="17" t="n"/>
      <c r="O147" s="18">
        <f>COUNT(J147:N147)</f>
        <v/>
      </c>
      <c r="P147" s="19">
        <f>IF(O147=0,"",MIN(J147:N147))</f>
        <v/>
      </c>
      <c r="Q147" s="10">
        <f>IF(O147=0,"",INDEX($J$3:$N$3,MATCH(P147,J147:N147,0)))</f>
        <v/>
      </c>
      <c r="R147" s="16">
        <f>IF(O147=0,"",AVERAGE(J147:N147))</f>
        <v/>
      </c>
      <c r="S147" s="20">
        <f>IF(O147&lt;2,"",MAX(J147:N147)/P147)</f>
        <v/>
      </c>
      <c r="T147" s="19">
        <f>IF(O147=0,"",G147*P147)</f>
        <v/>
      </c>
      <c r="U147" s="21">
        <f>IF(OR(O147=0,I147=0),"",T147/I147-1)</f>
        <v/>
      </c>
      <c r="V147" s="18">
        <f>IF(O147=0,"PENDENTE",IF(O147&gt;=5,"COMPLETO","PARCIAL"))</f>
        <v/>
      </c>
    </row>
    <row r="148">
      <c r="A148" s="9" t="inlineStr">
        <is>
          <t>SPD-CAPTOR</t>
        </is>
      </c>
      <c r="B148" s="10" t="inlineStr">
        <is>
          <t>eletrica</t>
        </is>
      </c>
      <c r="C148" s="11" t="inlineStr">
        <is>
          <t>Captor: cabo de aluminio 70 mm2 no perimetro da cobertura</t>
        </is>
      </c>
      <c r="D148" s="10" t="inlineStr">
        <is>
          <t>m</t>
        </is>
      </c>
      <c r="E148" s="12" t="n">
        <v>147</v>
      </c>
      <c r="F148" s="13" t="n">
        <v>0</v>
      </c>
      <c r="G148" s="14">
        <f>E148*(1+F148)</f>
        <v/>
      </c>
      <c r="H148" s="15" t="n">
        <v>38</v>
      </c>
      <c r="I148" s="16">
        <f>G148*H148</f>
        <v/>
      </c>
      <c r="J148" s="17" t="n"/>
      <c r="K148" s="17" t="n"/>
      <c r="L148" s="17" t="n"/>
      <c r="M148" s="17" t="n"/>
      <c r="N148" s="17" t="n"/>
      <c r="O148" s="18">
        <f>COUNT(J148:N148)</f>
        <v/>
      </c>
      <c r="P148" s="19">
        <f>IF(O148=0,"",MIN(J148:N148))</f>
        <v/>
      </c>
      <c r="Q148" s="10">
        <f>IF(O148=0,"",INDEX($J$3:$N$3,MATCH(P148,J148:N148,0)))</f>
        <v/>
      </c>
      <c r="R148" s="16">
        <f>IF(O148=0,"",AVERAGE(J148:N148))</f>
        <v/>
      </c>
      <c r="S148" s="20">
        <f>IF(O148&lt;2,"",MAX(J148:N148)/P148)</f>
        <v/>
      </c>
      <c r="T148" s="19">
        <f>IF(O148=0,"",G148*P148)</f>
        <v/>
      </c>
      <c r="U148" s="21">
        <f>IF(OR(O148=0,I148=0),"",T148/I148-1)</f>
        <v/>
      </c>
      <c r="V148" s="18">
        <f>IF(O148=0,"PENDENTE",IF(O148&gt;=5,"COMPLETO","PARCIAL"))</f>
        <v/>
      </c>
    </row>
    <row r="149">
      <c r="A149" s="9" t="inlineStr">
        <is>
          <t>EQP-SPLIT30</t>
        </is>
      </c>
      <c r="B149" s="10" t="inlineStr">
        <is>
          <t>equipamentos</t>
        </is>
      </c>
      <c r="C149" s="11" t="inlineStr">
        <is>
          <t>Split inverter 30.000 BTU/h</t>
        </is>
      </c>
      <c r="D149" s="10" t="inlineStr">
        <is>
          <t>un</t>
        </is>
      </c>
      <c r="E149" s="12" t="n">
        <v>1</v>
      </c>
      <c r="F149" s="13" t="n">
        <v>0</v>
      </c>
      <c r="G149" s="14">
        <f>E149*(1+F149)</f>
        <v/>
      </c>
      <c r="H149" s="15" t="n">
        <v>5400</v>
      </c>
      <c r="I149" s="16">
        <f>G149*H149</f>
        <v/>
      </c>
      <c r="J149" s="17" t="n"/>
      <c r="K149" s="17" t="n"/>
      <c r="L149" s="17" t="n"/>
      <c r="M149" s="17" t="n"/>
      <c r="N149" s="17" t="n"/>
      <c r="O149" s="18">
        <f>COUNT(J149:N149)</f>
        <v/>
      </c>
      <c r="P149" s="19">
        <f>IF(O149=0,"",MIN(J149:N149))</f>
        <v/>
      </c>
      <c r="Q149" s="10">
        <f>IF(O149=0,"",INDEX($J$3:$N$3,MATCH(P149,J149:N149,0)))</f>
        <v/>
      </c>
      <c r="R149" s="16">
        <f>IF(O149=0,"",AVERAGE(J149:N149))</f>
        <v/>
      </c>
      <c r="S149" s="20">
        <f>IF(O149&lt;2,"",MAX(J149:N149)/P149)</f>
        <v/>
      </c>
      <c r="T149" s="19">
        <f>IF(O149=0,"",G149*P149)</f>
        <v/>
      </c>
      <c r="U149" s="21">
        <f>IF(OR(O149=0,I149=0),"",T149/I149-1)</f>
        <v/>
      </c>
      <c r="V149" s="18">
        <f>IF(O149=0,"PENDENTE",IF(O149&gt;=5,"COMPLETO","PARCIAL"))</f>
        <v/>
      </c>
    </row>
    <row r="150">
      <c r="A150" s="9" t="inlineStr">
        <is>
          <t>LUM-DOWNLIGHT24</t>
        </is>
      </c>
      <c r="B150" s="10" t="inlineStr">
        <is>
          <t>eletrica</t>
        </is>
      </c>
      <c r="C150" s="11" t="inlineStr">
        <is>
          <t>Downlight LED embutido 24 W</t>
        </is>
      </c>
      <c r="D150" s="10" t="inlineStr">
        <is>
          <t>un</t>
        </is>
      </c>
      <c r="E150" s="12" t="n">
        <v>31</v>
      </c>
      <c r="F150" s="13" t="n">
        <v>0</v>
      </c>
      <c r="G150" s="14">
        <f>E150*(1+F150)</f>
        <v/>
      </c>
      <c r="H150" s="15" t="n">
        <v>165</v>
      </c>
      <c r="I150" s="16">
        <f>G150*H150</f>
        <v/>
      </c>
      <c r="J150" s="17" t="n"/>
      <c r="K150" s="17" t="n"/>
      <c r="L150" s="17" t="n"/>
      <c r="M150" s="17" t="n"/>
      <c r="N150" s="17" t="n"/>
      <c r="O150" s="18">
        <f>COUNT(J150:N150)</f>
        <v/>
      </c>
      <c r="P150" s="19">
        <f>IF(O150=0,"",MIN(J150:N150))</f>
        <v/>
      </c>
      <c r="Q150" s="10">
        <f>IF(O150=0,"",INDEX($J$3:$N$3,MATCH(P150,J150:N150,0)))</f>
        <v/>
      </c>
      <c r="R150" s="16">
        <f>IF(O150=0,"",AVERAGE(J150:N150))</f>
        <v/>
      </c>
      <c r="S150" s="20">
        <f>IF(O150&lt;2,"",MAX(J150:N150)/P150)</f>
        <v/>
      </c>
      <c r="T150" s="19">
        <f>IF(O150=0,"",G150*P150)</f>
        <v/>
      </c>
      <c r="U150" s="21">
        <f>IF(OR(O150=0,I150=0),"",T150/I150-1)</f>
        <v/>
      </c>
      <c r="V150" s="18">
        <f>IF(O150=0,"PENDENTE",IF(O150&gt;=5,"COMPLETO","PARCIAL"))</f>
        <v/>
      </c>
    </row>
    <row r="151">
      <c r="A151" s="9" t="inlineStr">
        <is>
          <t>MAR-CORT</t>
        </is>
      </c>
      <c r="B151" s="10" t="inlineStr">
        <is>
          <t>marcenaria</t>
        </is>
      </c>
      <c r="C151" s="11" t="inlineStr">
        <is>
          <t>Cortina blackout com trilho, dormitorios</t>
        </is>
      </c>
      <c r="D151" s="10" t="inlineStr">
        <is>
          <t>m</t>
        </is>
      </c>
      <c r="E151" s="12" t="n">
        <v>13.2</v>
      </c>
      <c r="F151" s="13" t="n">
        <v>0</v>
      </c>
      <c r="G151" s="14">
        <f>E151*(1+F151)</f>
        <v/>
      </c>
      <c r="H151" s="15" t="n">
        <v>380</v>
      </c>
      <c r="I151" s="16">
        <f>G151*H151</f>
        <v/>
      </c>
      <c r="J151" s="17" t="n"/>
      <c r="K151" s="17" t="n"/>
      <c r="L151" s="17" t="n"/>
      <c r="M151" s="17" t="n"/>
      <c r="N151" s="17" t="n"/>
      <c r="O151" s="18">
        <f>COUNT(J151:N151)</f>
        <v/>
      </c>
      <c r="P151" s="19">
        <f>IF(O151=0,"",MIN(J151:N151))</f>
        <v/>
      </c>
      <c r="Q151" s="10">
        <f>IF(O151=0,"",INDEX($J$3:$N$3,MATCH(P151,J151:N151,0)))</f>
        <v/>
      </c>
      <c r="R151" s="16">
        <f>IF(O151=0,"",AVERAGE(J151:N151))</f>
        <v/>
      </c>
      <c r="S151" s="20">
        <f>IF(O151&lt;2,"",MAX(J151:N151)/P151)</f>
        <v/>
      </c>
      <c r="T151" s="19">
        <f>IF(O151=0,"",G151*P151)</f>
        <v/>
      </c>
      <c r="U151" s="21">
        <f>IF(OR(O151=0,I151=0),"",T151/I151-1)</f>
        <v/>
      </c>
      <c r="V151" s="18">
        <f>IF(O151=0,"PENDENTE",IF(O151&gt;=5,"COMPLETO","PARCIAL"))</f>
        <v/>
      </c>
    </row>
    <row r="152">
      <c r="A152" s="9" t="inlineStr">
        <is>
          <t>REV-REJ</t>
        </is>
      </c>
      <c r="B152" s="10" t="inlineStr">
        <is>
          <t>revestimento</t>
        </is>
      </c>
      <c r="C152" s="11" t="inlineStr">
        <is>
          <t>Rejunte epoxi/acrilico</t>
        </is>
      </c>
      <c r="D152" s="10" t="inlineStr">
        <is>
          <t>m2</t>
        </is>
      </c>
      <c r="E152" s="12" t="n">
        <v>521.8</v>
      </c>
      <c r="F152" s="13" t="n">
        <v>0</v>
      </c>
      <c r="G152" s="14">
        <f>E152*(1+F152)</f>
        <v/>
      </c>
      <c r="H152" s="15" t="n">
        <v>9</v>
      </c>
      <c r="I152" s="16">
        <f>G152*H152</f>
        <v/>
      </c>
      <c r="J152" s="17" t="n"/>
      <c r="K152" s="17" t="n"/>
      <c r="L152" s="17" t="n"/>
      <c r="M152" s="17" t="n"/>
      <c r="N152" s="17" t="n"/>
      <c r="O152" s="18">
        <f>COUNT(J152:N152)</f>
        <v/>
      </c>
      <c r="P152" s="19">
        <f>IF(O152=0,"",MIN(J152:N152))</f>
        <v/>
      </c>
      <c r="Q152" s="10">
        <f>IF(O152=0,"",INDEX($J$3:$N$3,MATCH(P152,J152:N152,0)))</f>
        <v/>
      </c>
      <c r="R152" s="16">
        <f>IF(O152=0,"",AVERAGE(J152:N152))</f>
        <v/>
      </c>
      <c r="S152" s="20">
        <f>IF(O152&lt;2,"",MAX(J152:N152)/P152)</f>
        <v/>
      </c>
      <c r="T152" s="19">
        <f>IF(O152=0,"",G152*P152)</f>
        <v/>
      </c>
      <c r="U152" s="21">
        <f>IF(OR(O152=0,I152=0),"",T152/I152-1)</f>
        <v/>
      </c>
      <c r="V152" s="18">
        <f>IF(O152=0,"PENDENTE",IF(O152&gt;=5,"COMPLETO","PARCIAL"))</f>
        <v/>
      </c>
    </row>
    <row r="153">
      <c r="A153" s="9" t="inlineStr">
        <is>
          <t>LOU-VASO</t>
        </is>
      </c>
      <c r="B153" s="10" t="inlineStr">
        <is>
          <t>loucas</t>
        </is>
      </c>
      <c r="C153" s="11" t="inlineStr">
        <is>
          <t>Bacia sanitaria com caixa acoplada</t>
        </is>
      </c>
      <c r="D153" s="10" t="inlineStr">
        <is>
          <t>un</t>
        </is>
      </c>
      <c r="E153" s="12" t="n">
        <v>5</v>
      </c>
      <c r="F153" s="13" t="n">
        <v>0</v>
      </c>
      <c r="G153" s="14">
        <f>E153*(1+F153)</f>
        <v/>
      </c>
      <c r="H153" s="15" t="n">
        <v>780</v>
      </c>
      <c r="I153" s="16">
        <f>G153*H153</f>
        <v/>
      </c>
      <c r="J153" s="17" t="n"/>
      <c r="K153" s="17" t="n"/>
      <c r="L153" s="17" t="n"/>
      <c r="M153" s="17" t="n"/>
      <c r="N153" s="17" t="n"/>
      <c r="O153" s="18">
        <f>COUNT(J153:N153)</f>
        <v/>
      </c>
      <c r="P153" s="19">
        <f>IF(O153=0,"",MIN(J153:N153))</f>
        <v/>
      </c>
      <c r="Q153" s="10">
        <f>IF(O153=0,"",INDEX($J$3:$N$3,MATCH(P153,J153:N153,0)))</f>
        <v/>
      </c>
      <c r="R153" s="16">
        <f>IF(O153=0,"",AVERAGE(J153:N153))</f>
        <v/>
      </c>
      <c r="S153" s="20">
        <f>IF(O153&lt;2,"",MAX(J153:N153)/P153)</f>
        <v/>
      </c>
      <c r="T153" s="19">
        <f>IF(O153=0,"",G153*P153)</f>
        <v/>
      </c>
      <c r="U153" s="21">
        <f>IF(OR(O153=0,I153=0),"",T153/I153-1)</f>
        <v/>
      </c>
      <c r="V153" s="18">
        <f>IF(O153=0,"PENDENTE",IF(O153&gt;=5,"COMPLETO","PARCIAL"))</f>
        <v/>
      </c>
    </row>
    <row r="154">
      <c r="A154" s="9" t="inlineStr">
        <is>
          <t>LUM-LINEAR</t>
        </is>
      </c>
      <c r="B154" s="10" t="inlineStr">
        <is>
          <t>eletrica</t>
        </is>
      </c>
      <c r="C154" s="11" t="inlineStr">
        <is>
          <t>Perfil linear LED 18 W/m com difusor (tarefa)</t>
        </is>
      </c>
      <c r="D154" s="10" t="inlineStr">
        <is>
          <t>m</t>
        </is>
      </c>
      <c r="E154" s="12" t="n">
        <v>15.6</v>
      </c>
      <c r="F154" s="13" t="n">
        <v>0</v>
      </c>
      <c r="G154" s="14">
        <f>E154*(1+F154)</f>
        <v/>
      </c>
      <c r="H154" s="15" t="n">
        <v>210</v>
      </c>
      <c r="I154" s="16">
        <f>G154*H154</f>
        <v/>
      </c>
      <c r="J154" s="17" t="n"/>
      <c r="K154" s="17" t="n"/>
      <c r="L154" s="17" t="n"/>
      <c r="M154" s="17" t="n"/>
      <c r="N154" s="17" t="n"/>
      <c r="O154" s="18">
        <f>COUNT(J154:N154)</f>
        <v/>
      </c>
      <c r="P154" s="19">
        <f>IF(O154=0,"",MIN(J154:N154))</f>
        <v/>
      </c>
      <c r="Q154" s="10">
        <f>IF(O154=0,"",INDEX($J$3:$N$3,MATCH(P154,J154:N154,0)))</f>
        <v/>
      </c>
      <c r="R154" s="16">
        <f>IF(O154=0,"",AVERAGE(J154:N154))</f>
        <v/>
      </c>
      <c r="S154" s="20">
        <f>IF(O154&lt;2,"",MAX(J154:N154)/P154)</f>
        <v/>
      </c>
      <c r="T154" s="19">
        <f>IF(O154=0,"",G154*P154)</f>
        <v/>
      </c>
      <c r="U154" s="21">
        <f>IF(OR(O154=0,I154=0),"",T154/I154-1)</f>
        <v/>
      </c>
      <c r="V154" s="18">
        <f>IF(O154=0,"PENDENTE",IF(O154&gt;=5,"COMPLETO","PARCIAL"))</f>
        <v/>
      </c>
    </row>
    <row r="155">
      <c r="A155" s="9" t="inlineStr">
        <is>
          <t>MET-TORN</t>
        </is>
      </c>
      <c r="B155" s="10" t="inlineStr">
        <is>
          <t>loucas</t>
        </is>
      </c>
      <c r="C155" s="11" t="inlineStr">
        <is>
          <t>Torneira de bancada (lavatorio e cuba)</t>
        </is>
      </c>
      <c r="D155" s="10" t="inlineStr">
        <is>
          <t>un</t>
        </is>
      </c>
      <c r="E155" s="12" t="n">
        <v>9</v>
      </c>
      <c r="F155" s="13" t="n">
        <v>0</v>
      </c>
      <c r="G155" s="14">
        <f>E155*(1+F155)</f>
        <v/>
      </c>
      <c r="H155" s="15" t="n">
        <v>340</v>
      </c>
      <c r="I155" s="16">
        <f>G155*H155</f>
        <v/>
      </c>
      <c r="J155" s="17" t="n"/>
      <c r="K155" s="17" t="n"/>
      <c r="L155" s="17" t="n"/>
      <c r="M155" s="17" t="n"/>
      <c r="N155" s="17" t="n"/>
      <c r="O155" s="18">
        <f>COUNT(J155:N155)</f>
        <v/>
      </c>
      <c r="P155" s="19">
        <f>IF(O155=0,"",MIN(J155:N155))</f>
        <v/>
      </c>
      <c r="Q155" s="10">
        <f>IF(O155=0,"",INDEX($J$3:$N$3,MATCH(P155,J155:N155,0)))</f>
        <v/>
      </c>
      <c r="R155" s="16">
        <f>IF(O155=0,"",AVERAGE(J155:N155))</f>
        <v/>
      </c>
      <c r="S155" s="20">
        <f>IF(O155&lt;2,"",MAX(J155:N155)/P155)</f>
        <v/>
      </c>
      <c r="T155" s="19">
        <f>IF(O155=0,"",G155*P155)</f>
        <v/>
      </c>
      <c r="U155" s="21">
        <f>IF(OR(O155=0,I155=0),"",T155/I155-1)</f>
        <v/>
      </c>
      <c r="V155" s="18">
        <f>IF(O155=0,"PENDENTE",IF(O155&gt;=5,"COMPLETO","PARCIAL"))</f>
        <v/>
      </c>
    </row>
    <row r="156">
      <c r="A156" s="9" t="inlineStr">
        <is>
          <t>SPD-ANEL</t>
        </is>
      </c>
      <c r="B156" s="10" t="inlineStr">
        <is>
          <t>eletrica</t>
        </is>
      </c>
      <c r="C156" s="11" t="inlineStr">
        <is>
          <t>Anel de aterramento: cobre nu 50 mm2 no perimetro do radier</t>
        </is>
      </c>
      <c r="D156" s="10" t="inlineStr">
        <is>
          <t>m</t>
        </is>
      </c>
      <c r="E156" s="12" t="n">
        <v>63.6</v>
      </c>
      <c r="F156" s="13" t="n">
        <v>0</v>
      </c>
      <c r="G156" s="14">
        <f>E156*(1+F156)</f>
        <v/>
      </c>
      <c r="H156" s="15" t="n">
        <v>46</v>
      </c>
      <c r="I156" s="16">
        <f>G156*H156</f>
        <v/>
      </c>
      <c r="J156" s="17" t="n"/>
      <c r="K156" s="17" t="n"/>
      <c r="L156" s="17" t="n"/>
      <c r="M156" s="17" t="n"/>
      <c r="N156" s="17" t="n"/>
      <c r="O156" s="18">
        <f>COUNT(J156:N156)</f>
        <v/>
      </c>
      <c r="P156" s="19">
        <f>IF(O156=0,"",MIN(J156:N156))</f>
        <v/>
      </c>
      <c r="Q156" s="10">
        <f>IF(O156=0,"",INDEX($J$3:$N$3,MATCH(P156,J156:N156,0)))</f>
        <v/>
      </c>
      <c r="R156" s="16">
        <f>IF(O156=0,"",AVERAGE(J156:N156))</f>
        <v/>
      </c>
      <c r="S156" s="20">
        <f>IF(O156&lt;2,"",MAX(J156:N156)/P156)</f>
        <v/>
      </c>
      <c r="T156" s="19">
        <f>IF(O156=0,"",G156*P156)</f>
        <v/>
      </c>
      <c r="U156" s="21">
        <f>IF(OR(O156=0,I156=0),"",T156/I156-1)</f>
        <v/>
      </c>
      <c r="V156" s="18">
        <f>IF(O156=0,"PENDENTE",IF(O156&gt;=5,"COMPLETO","PARCIAL"))</f>
        <v/>
      </c>
    </row>
    <row r="157">
      <c r="A157" s="9" t="inlineStr">
        <is>
          <t>REV-FORRO-ACUST</t>
        </is>
      </c>
      <c r="B157" s="10" t="inlineStr">
        <is>
          <t>revestimento</t>
        </is>
      </c>
      <c r="C157" s="11" t="inlineStr">
        <is>
          <t>Forro absorvente perfurado (alfa 0,70), acabado de fabrica</t>
        </is>
      </c>
      <c r="D157" s="10" t="inlineStr">
        <is>
          <t>m2</t>
        </is>
      </c>
      <c r="E157" s="12" t="n">
        <v>30.2</v>
      </c>
      <c r="F157" s="13" t="n">
        <v>0</v>
      </c>
      <c r="G157" s="14">
        <f>E157*(1+F157)</f>
        <v/>
      </c>
      <c r="H157" s="15" t="n">
        <v>96</v>
      </c>
      <c r="I157" s="16">
        <f>G157*H157</f>
        <v/>
      </c>
      <c r="J157" s="17" t="n"/>
      <c r="K157" s="17" t="n"/>
      <c r="L157" s="17" t="n"/>
      <c r="M157" s="17" t="n"/>
      <c r="N157" s="17" t="n"/>
      <c r="O157" s="18">
        <f>COUNT(J157:N157)</f>
        <v/>
      </c>
      <c r="P157" s="19">
        <f>IF(O157=0,"",MIN(J157:N157))</f>
        <v/>
      </c>
      <c r="Q157" s="10">
        <f>IF(O157=0,"",INDEX($J$3:$N$3,MATCH(P157,J157:N157,0)))</f>
        <v/>
      </c>
      <c r="R157" s="16">
        <f>IF(O157=0,"",AVERAGE(J157:N157))</f>
        <v/>
      </c>
      <c r="S157" s="20">
        <f>IF(O157&lt;2,"",MAX(J157:N157)/P157)</f>
        <v/>
      </c>
      <c r="T157" s="19">
        <f>IF(O157=0,"",G157*P157)</f>
        <v/>
      </c>
      <c r="U157" s="21">
        <f>IF(OR(O157=0,I157=0),"",T157/I157-1)</f>
        <v/>
      </c>
      <c r="V157" s="18">
        <f>IF(O157=0,"PENDENTE",IF(O157&gt;=5,"COMPLETO","PARCIAL"))</f>
        <v/>
      </c>
    </row>
    <row r="158">
      <c r="A158" s="9" t="inlineStr">
        <is>
          <t>MAR-PAINEL</t>
        </is>
      </c>
      <c r="B158" s="10" t="inlineStr">
        <is>
          <t>marcenaria</t>
        </is>
      </c>
      <c r="C158" s="11" t="inlineStr">
        <is>
          <t>Painel ripado de TV</t>
        </is>
      </c>
      <c r="D158" s="10" t="inlineStr">
        <is>
          <t>m2</t>
        </is>
      </c>
      <c r="E158" s="12" t="n">
        <v>6.71</v>
      </c>
      <c r="F158" s="13" t="n">
        <v>0</v>
      </c>
      <c r="G158" s="14">
        <f>E158*(1+F158)</f>
        <v/>
      </c>
      <c r="H158" s="15" t="n">
        <v>420</v>
      </c>
      <c r="I158" s="16">
        <f>G158*H158</f>
        <v/>
      </c>
      <c r="J158" s="17" t="n"/>
      <c r="K158" s="17" t="n"/>
      <c r="L158" s="17" t="n"/>
      <c r="M158" s="17" t="n"/>
      <c r="N158" s="17" t="n"/>
      <c r="O158" s="18">
        <f>COUNT(J158:N158)</f>
        <v/>
      </c>
      <c r="P158" s="19">
        <f>IF(O158=0,"",MIN(J158:N158))</f>
        <v/>
      </c>
      <c r="Q158" s="10">
        <f>IF(O158=0,"",INDEX($J$3:$N$3,MATCH(P158,J158:N158,0)))</f>
        <v/>
      </c>
      <c r="R158" s="16">
        <f>IF(O158=0,"",AVERAGE(J158:N158))</f>
        <v/>
      </c>
      <c r="S158" s="20">
        <f>IF(O158&lt;2,"",MAX(J158:N158)/P158)</f>
        <v/>
      </c>
      <c r="T158" s="19">
        <f>IF(O158=0,"",G158*P158)</f>
        <v/>
      </c>
      <c r="U158" s="21">
        <f>IF(OR(O158=0,I158=0),"",T158/I158-1)</f>
        <v/>
      </c>
      <c r="V158" s="18">
        <f>IF(O158=0,"PENDENTE",IF(O158&gt;=5,"COMPLETO","PARCIAL"))</f>
        <v/>
      </c>
    </row>
    <row r="159">
      <c r="A159" s="9" t="inlineStr">
        <is>
          <t>EQP-PISC</t>
        </is>
      </c>
      <c r="B159" s="10" t="inlineStr">
        <is>
          <t>equipamentos</t>
        </is>
      </c>
      <c r="C159" s="11" t="inlineStr">
        <is>
          <t>Conjunto da piscina: bomba, filtro e tratamento</t>
        </is>
      </c>
      <c r="D159" s="10" t="inlineStr">
        <is>
          <t>cj</t>
        </is>
      </c>
      <c r="E159" s="12" t="n">
        <v>1</v>
      </c>
      <c r="F159" s="13" t="n">
        <v>0</v>
      </c>
      <c r="G159" s="14">
        <f>E159*(1+F159)</f>
        <v/>
      </c>
      <c r="H159" s="15" t="n">
        <v>2800</v>
      </c>
      <c r="I159" s="16">
        <f>G159*H159</f>
        <v/>
      </c>
      <c r="J159" s="17" t="n"/>
      <c r="K159" s="17" t="n"/>
      <c r="L159" s="17" t="n"/>
      <c r="M159" s="17" t="n"/>
      <c r="N159" s="17" t="n"/>
      <c r="O159" s="18">
        <f>COUNT(J159:N159)</f>
        <v/>
      </c>
      <c r="P159" s="19">
        <f>IF(O159=0,"",MIN(J159:N159))</f>
        <v/>
      </c>
      <c r="Q159" s="10">
        <f>IF(O159=0,"",INDEX($J$3:$N$3,MATCH(P159,J159:N159,0)))</f>
        <v/>
      </c>
      <c r="R159" s="16">
        <f>IF(O159=0,"",AVERAGE(J159:N159))</f>
        <v/>
      </c>
      <c r="S159" s="20">
        <f>IF(O159&lt;2,"",MAX(J159:N159)/P159)</f>
        <v/>
      </c>
      <c r="T159" s="19">
        <f>IF(O159=0,"",G159*P159)</f>
        <v/>
      </c>
      <c r="U159" s="21">
        <f>IF(OR(O159=0,I159=0),"",T159/I159-1)</f>
        <v/>
      </c>
      <c r="V159" s="18">
        <f>IF(O159=0,"PENDENTE",IF(O159&gt;=5,"COMPLETO","PARCIAL"))</f>
        <v/>
      </c>
    </row>
    <row r="160">
      <c r="A160" s="9" t="inlineStr">
        <is>
          <t>LOU-LAV</t>
        </is>
      </c>
      <c r="B160" s="10" t="inlineStr">
        <is>
          <t>loucas</t>
        </is>
      </c>
      <c r="C160" s="11" t="inlineStr">
        <is>
          <t>Lavatorio / cuba de banheiro</t>
        </is>
      </c>
      <c r="D160" s="10" t="inlineStr">
        <is>
          <t>un</t>
        </is>
      </c>
      <c r="E160" s="12" t="n">
        <v>6</v>
      </c>
      <c r="F160" s="13" t="n">
        <v>0</v>
      </c>
      <c r="G160" s="14">
        <f>E160*(1+F160)</f>
        <v/>
      </c>
      <c r="H160" s="15" t="n">
        <v>420</v>
      </c>
      <c r="I160" s="16">
        <f>G160*H160</f>
        <v/>
      </c>
      <c r="J160" s="17" t="n"/>
      <c r="K160" s="17" t="n"/>
      <c r="L160" s="17" t="n"/>
      <c r="M160" s="17" t="n"/>
      <c r="N160" s="17" t="n"/>
      <c r="O160" s="18">
        <f>COUNT(J160:N160)</f>
        <v/>
      </c>
      <c r="P160" s="19">
        <f>IF(O160=0,"",MIN(J160:N160))</f>
        <v/>
      </c>
      <c r="Q160" s="10">
        <f>IF(O160=0,"",INDEX($J$3:$N$3,MATCH(P160,J160:N160,0)))</f>
        <v/>
      </c>
      <c r="R160" s="16">
        <f>IF(O160=0,"",AVERAGE(J160:N160))</f>
        <v/>
      </c>
      <c r="S160" s="20">
        <f>IF(O160&lt;2,"",MAX(J160:N160)/P160)</f>
        <v/>
      </c>
      <c r="T160" s="19">
        <f>IF(O160=0,"",G160*P160)</f>
        <v/>
      </c>
      <c r="U160" s="21">
        <f>IF(OR(O160=0,I160=0),"",T160/I160-1)</f>
        <v/>
      </c>
      <c r="V160" s="18">
        <f>IF(O160=0,"PENDENTE",IF(O160&gt;=5,"COMPLETO","PARCIAL"))</f>
        <v/>
      </c>
    </row>
    <row r="161">
      <c r="A161" s="9" t="inlineStr">
        <is>
          <t>ELE-TUG</t>
        </is>
      </c>
      <c r="B161" s="10" t="inlineStr">
        <is>
          <t>eletrica</t>
        </is>
      </c>
      <c r="C161" s="11" t="inlineStr">
        <is>
          <t>Tomada 2P+T 10 A com placa</t>
        </is>
      </c>
      <c r="D161" s="10" t="inlineStr">
        <is>
          <t>un</t>
        </is>
      </c>
      <c r="E161" s="12" t="n">
        <v>87</v>
      </c>
      <c r="F161" s="13" t="n">
        <v>0</v>
      </c>
      <c r="G161" s="14">
        <f>E161*(1+F161)</f>
        <v/>
      </c>
      <c r="H161" s="15" t="n">
        <v>28</v>
      </c>
      <c r="I161" s="16">
        <f>G161*H161</f>
        <v/>
      </c>
      <c r="J161" s="17" t="n"/>
      <c r="K161" s="17" t="n"/>
      <c r="L161" s="17" t="n"/>
      <c r="M161" s="17" t="n"/>
      <c r="N161" s="17" t="n"/>
      <c r="O161" s="18">
        <f>COUNT(J161:N161)</f>
        <v/>
      </c>
      <c r="P161" s="19">
        <f>IF(O161=0,"",MIN(J161:N161))</f>
        <v/>
      </c>
      <c r="Q161" s="10">
        <f>IF(O161=0,"",INDEX($J$3:$N$3,MATCH(P161,J161:N161,0)))</f>
        <v/>
      </c>
      <c r="R161" s="16">
        <f>IF(O161=0,"",AVERAGE(J161:N161))</f>
        <v/>
      </c>
      <c r="S161" s="20">
        <f>IF(O161&lt;2,"",MAX(J161:N161)/P161)</f>
        <v/>
      </c>
      <c r="T161" s="19">
        <f>IF(O161=0,"",G161*P161)</f>
        <v/>
      </c>
      <c r="U161" s="21">
        <f>IF(OR(O161=0,I161=0),"",T161/I161-1)</f>
        <v/>
      </c>
      <c r="V161" s="18">
        <f>IF(O161=0,"PENDENTE",IF(O161&gt;=5,"COMPLETO","PARCIAL"))</f>
        <v/>
      </c>
    </row>
    <row r="162">
      <c r="A162" s="9" t="inlineStr">
        <is>
          <t>EQP-PORTAO</t>
        </is>
      </c>
      <c r="B162" s="10" t="inlineStr">
        <is>
          <t>equipamentos</t>
        </is>
      </c>
      <c r="C162" s="11" t="inlineStr">
        <is>
          <t>Automatizador de portao de correr</t>
        </is>
      </c>
      <c r="D162" s="10" t="inlineStr">
        <is>
          <t>un</t>
        </is>
      </c>
      <c r="E162" s="12" t="n">
        <v>1</v>
      </c>
      <c r="F162" s="13" t="n">
        <v>0</v>
      </c>
      <c r="G162" s="14">
        <f>E162*(1+F162)</f>
        <v/>
      </c>
      <c r="H162" s="15" t="n">
        <v>2400</v>
      </c>
      <c r="I162" s="16">
        <f>G162*H162</f>
        <v/>
      </c>
      <c r="J162" s="17" t="n"/>
      <c r="K162" s="17" t="n"/>
      <c r="L162" s="17" t="n"/>
      <c r="M162" s="17" t="n"/>
      <c r="N162" s="17" t="n"/>
      <c r="O162" s="18">
        <f>COUNT(J162:N162)</f>
        <v/>
      </c>
      <c r="P162" s="19">
        <f>IF(O162=0,"",MIN(J162:N162))</f>
        <v/>
      </c>
      <c r="Q162" s="10">
        <f>IF(O162=0,"",INDEX($J$3:$N$3,MATCH(P162,J162:N162,0)))</f>
        <v/>
      </c>
      <c r="R162" s="16">
        <f>IF(O162=0,"",AVERAGE(J162:N162))</f>
        <v/>
      </c>
      <c r="S162" s="20">
        <f>IF(O162&lt;2,"",MAX(J162:N162)/P162)</f>
        <v/>
      </c>
      <c r="T162" s="19">
        <f>IF(O162=0,"",G162*P162)</f>
        <v/>
      </c>
      <c r="U162" s="21">
        <f>IF(OR(O162=0,I162=0),"",T162/I162-1)</f>
        <v/>
      </c>
      <c r="V162" s="18">
        <f>IF(O162=0,"PENDENTE",IF(O162&gt;=5,"COMPLETO","PARCIAL"))</f>
        <v/>
      </c>
    </row>
    <row r="163">
      <c r="A163" s="9" t="inlineStr">
        <is>
          <t>MET-ACESS</t>
        </is>
      </c>
      <c r="B163" s="10" t="inlineStr">
        <is>
          <t>loucas</t>
        </is>
      </c>
      <c r="C163" s="11" t="inlineStr">
        <is>
          <t>Acessorios (papeleira, cabide, saboneteira, toalheiro)</t>
        </is>
      </c>
      <c r="D163" s="10" t="inlineStr">
        <is>
          <t>un</t>
        </is>
      </c>
      <c r="E163" s="12" t="n">
        <v>28</v>
      </c>
      <c r="F163" s="13" t="n">
        <v>0</v>
      </c>
      <c r="G163" s="14">
        <f>E163*(1+F163)</f>
        <v/>
      </c>
      <c r="H163" s="15" t="n">
        <v>85</v>
      </c>
      <c r="I163" s="16">
        <f>G163*H163</f>
        <v/>
      </c>
      <c r="J163" s="17" t="n"/>
      <c r="K163" s="17" t="n"/>
      <c r="L163" s="17" t="n"/>
      <c r="M163" s="17" t="n"/>
      <c r="N163" s="17" t="n"/>
      <c r="O163" s="18">
        <f>COUNT(J163:N163)</f>
        <v/>
      </c>
      <c r="P163" s="19">
        <f>IF(O163=0,"",MIN(J163:N163))</f>
        <v/>
      </c>
      <c r="Q163" s="10">
        <f>IF(O163=0,"",INDEX($J$3:$N$3,MATCH(P163,J163:N163,0)))</f>
        <v/>
      </c>
      <c r="R163" s="16">
        <f>IF(O163=0,"",AVERAGE(J163:N163))</f>
        <v/>
      </c>
      <c r="S163" s="20">
        <f>IF(O163&lt;2,"",MAX(J163:N163)/P163)</f>
        <v/>
      </c>
      <c r="T163" s="19">
        <f>IF(O163=0,"",G163*P163)</f>
        <v/>
      </c>
      <c r="U163" s="21">
        <f>IF(OR(O163=0,I163=0),"",T163/I163-1)</f>
        <v/>
      </c>
      <c r="V163" s="18">
        <f>IF(O163=0,"PENDENTE",IF(O163&gt;=5,"COMPLETO","PARCIAL"))</f>
        <v/>
      </c>
    </row>
    <row r="164">
      <c r="A164" s="9" t="inlineStr">
        <is>
          <t>PIN-SELADOR</t>
        </is>
      </c>
      <c r="B164" s="10" t="inlineStr">
        <is>
          <t>pintura</t>
        </is>
      </c>
      <c r="C164" s="11" t="inlineStr">
        <is>
          <t>Selador acrilico</t>
        </is>
      </c>
      <c r="D164" s="10" t="inlineStr">
        <is>
          <t>L</t>
        </is>
      </c>
      <c r="E164" s="12" t="n">
        <v>80.7</v>
      </c>
      <c r="F164" s="13" t="n">
        <v>0</v>
      </c>
      <c r="G164" s="14">
        <f>E164*(1+F164)</f>
        <v/>
      </c>
      <c r="H164" s="15" t="n">
        <v>28</v>
      </c>
      <c r="I164" s="16">
        <f>G164*H164</f>
        <v/>
      </c>
      <c r="J164" s="17" t="n"/>
      <c r="K164" s="17" t="n"/>
      <c r="L164" s="17" t="n"/>
      <c r="M164" s="17" t="n"/>
      <c r="N164" s="17" t="n"/>
      <c r="O164" s="18">
        <f>COUNT(J164:N164)</f>
        <v/>
      </c>
      <c r="P164" s="19">
        <f>IF(O164=0,"",MIN(J164:N164))</f>
        <v/>
      </c>
      <c r="Q164" s="10">
        <f>IF(O164=0,"",INDEX($J$3:$N$3,MATCH(P164,J164:N164,0)))</f>
        <v/>
      </c>
      <c r="R164" s="16">
        <f>IF(O164=0,"",AVERAGE(J164:N164))</f>
        <v/>
      </c>
      <c r="S164" s="20">
        <f>IF(O164&lt;2,"",MAX(J164:N164)/P164)</f>
        <v/>
      </c>
      <c r="T164" s="19">
        <f>IF(O164=0,"",G164*P164)</f>
        <v/>
      </c>
      <c r="U164" s="21">
        <f>IF(OR(O164=0,I164=0),"",T164/I164-1)</f>
        <v/>
      </c>
      <c r="V164" s="18">
        <f>IF(O164=0,"PENDENTE",IF(O164&gt;=5,"COMPLETO","PARCIAL"))</f>
        <v/>
      </c>
    </row>
    <row r="165">
      <c r="A165" s="9" t="inlineStr">
        <is>
          <t>LOU-CUBA</t>
        </is>
      </c>
      <c r="B165" s="10" t="inlineStr">
        <is>
          <t>loucas</t>
        </is>
      </c>
      <c r="C165" s="11" t="inlineStr">
        <is>
          <t>Cuba de cozinha / gourmet / lavanderia em inox</t>
        </is>
      </c>
      <c r="D165" s="10" t="inlineStr">
        <is>
          <t>un</t>
        </is>
      </c>
      <c r="E165" s="12" t="n">
        <v>3</v>
      </c>
      <c r="F165" s="13" t="n">
        <v>0</v>
      </c>
      <c r="G165" s="14">
        <f>E165*(1+F165)</f>
        <v/>
      </c>
      <c r="H165" s="15" t="n">
        <v>690</v>
      </c>
      <c r="I165" s="16">
        <f>G165*H165</f>
        <v/>
      </c>
      <c r="J165" s="17" t="n"/>
      <c r="K165" s="17" t="n"/>
      <c r="L165" s="17" t="n"/>
      <c r="M165" s="17" t="n"/>
      <c r="N165" s="17" t="n"/>
      <c r="O165" s="18">
        <f>COUNT(J165:N165)</f>
        <v/>
      </c>
      <c r="P165" s="19">
        <f>IF(O165=0,"",MIN(J165:N165))</f>
        <v/>
      </c>
      <c r="Q165" s="10">
        <f>IF(O165=0,"",INDEX($J$3:$N$3,MATCH(P165,J165:N165,0)))</f>
        <v/>
      </c>
      <c r="R165" s="16">
        <f>IF(O165=0,"",AVERAGE(J165:N165))</f>
        <v/>
      </c>
      <c r="S165" s="20">
        <f>IF(O165&lt;2,"",MAX(J165:N165)/P165)</f>
        <v/>
      </c>
      <c r="T165" s="19">
        <f>IF(O165=0,"",G165*P165)</f>
        <v/>
      </c>
      <c r="U165" s="21">
        <f>IF(OR(O165=0,I165=0),"",T165/I165-1)</f>
        <v/>
      </c>
      <c r="V165" s="18">
        <f>IF(O165=0,"PENDENTE",IF(O165&gt;=5,"COMPLETO","PARCIAL"))</f>
        <v/>
      </c>
    </row>
    <row r="166">
      <c r="A166" s="9" t="inlineStr">
        <is>
          <t>EQP-EXAUST</t>
        </is>
      </c>
      <c r="B166" s="10" t="inlineStr">
        <is>
          <t>equipamentos</t>
        </is>
      </c>
      <c r="C166" s="11" t="inlineStr">
        <is>
          <t>Exaustor / coifa</t>
        </is>
      </c>
      <c r="D166" s="10" t="inlineStr">
        <is>
          <t>un</t>
        </is>
      </c>
      <c r="E166" s="12" t="n">
        <v>7</v>
      </c>
      <c r="F166" s="13" t="n">
        <v>0</v>
      </c>
      <c r="G166" s="14">
        <f>E166*(1+F166)</f>
        <v/>
      </c>
      <c r="H166" s="15" t="n">
        <v>260</v>
      </c>
      <c r="I166" s="16">
        <f>G166*H166</f>
        <v/>
      </c>
      <c r="J166" s="17" t="n"/>
      <c r="K166" s="17" t="n"/>
      <c r="L166" s="17" t="n"/>
      <c r="M166" s="17" t="n"/>
      <c r="N166" s="17" t="n"/>
      <c r="O166" s="18">
        <f>COUNT(J166:N166)</f>
        <v/>
      </c>
      <c r="P166" s="19">
        <f>IF(O166=0,"",MIN(J166:N166))</f>
        <v/>
      </c>
      <c r="Q166" s="10">
        <f>IF(O166=0,"",INDEX($J$3:$N$3,MATCH(P166,J166:N166,0)))</f>
        <v/>
      </c>
      <c r="R166" s="16">
        <f>IF(O166=0,"",AVERAGE(J166:N166))</f>
        <v/>
      </c>
      <c r="S166" s="20">
        <f>IF(O166&lt;2,"",MAX(J166:N166)/P166)</f>
        <v/>
      </c>
      <c r="T166" s="19">
        <f>IF(O166=0,"",G166*P166)</f>
        <v/>
      </c>
      <c r="U166" s="21">
        <f>IF(OR(O166=0,I166=0),"",T166/I166-1)</f>
        <v/>
      </c>
      <c r="V166" s="18">
        <f>IF(O166=0,"PENDENTE",IF(O166&gt;=5,"COMPLETO","PARCIAL"))</f>
        <v/>
      </c>
    </row>
    <row r="167">
      <c r="A167" s="9" t="inlineStr">
        <is>
          <t>FV-HOMOLOG</t>
        </is>
      </c>
      <c r="B167" s="10" t="inlineStr">
        <is>
          <t>eletrica</t>
        </is>
      </c>
      <c r="C167" s="11" t="inlineStr">
        <is>
          <t>Projeto e homologacao na concessionaria (REN 1.000)</t>
        </is>
      </c>
      <c r="D167" s="10" t="inlineStr">
        <is>
          <t>un</t>
        </is>
      </c>
      <c r="E167" s="12" t="n">
        <v>1</v>
      </c>
      <c r="F167" s="13" t="n">
        <v>0</v>
      </c>
      <c r="G167" s="14">
        <f>E167*(1+F167)</f>
        <v/>
      </c>
      <c r="H167" s="15" t="n">
        <v>1800</v>
      </c>
      <c r="I167" s="16">
        <f>G167*H167</f>
        <v/>
      </c>
      <c r="J167" s="17" t="n"/>
      <c r="K167" s="17" t="n"/>
      <c r="L167" s="17" t="n"/>
      <c r="M167" s="17" t="n"/>
      <c r="N167" s="17" t="n"/>
      <c r="O167" s="18">
        <f>COUNT(J167:N167)</f>
        <v/>
      </c>
      <c r="P167" s="19">
        <f>IF(O167=0,"",MIN(J167:N167))</f>
        <v/>
      </c>
      <c r="Q167" s="10">
        <f>IF(O167=0,"",INDEX($J$3:$N$3,MATCH(P167,J167:N167,0)))</f>
        <v/>
      </c>
      <c r="R167" s="16">
        <f>IF(O167=0,"",AVERAGE(J167:N167))</f>
        <v/>
      </c>
      <c r="S167" s="20">
        <f>IF(O167&lt;2,"",MAX(J167:N167)/P167)</f>
        <v/>
      </c>
      <c r="T167" s="19">
        <f>IF(O167=0,"",G167*P167)</f>
        <v/>
      </c>
      <c r="U167" s="21">
        <f>IF(OR(O167=0,I167=0),"",T167/I167-1)</f>
        <v/>
      </c>
      <c r="V167" s="18">
        <f>IF(O167=0,"PENDENTE",IF(O167&gt;=5,"COMPLETO","PARCIAL"))</f>
        <v/>
      </c>
    </row>
    <row r="168">
      <c r="A168" s="9" t="inlineStr">
        <is>
          <t>LUM-SOBREPOR24</t>
        </is>
      </c>
      <c r="B168" s="10" t="inlineStr">
        <is>
          <t>eletrica</t>
        </is>
      </c>
      <c r="C168" s="11" t="inlineStr">
        <is>
          <t>Plafon LED de sobrepor 24 W</t>
        </is>
      </c>
      <c r="D168" s="10" t="inlineStr">
        <is>
          <t>un</t>
        </is>
      </c>
      <c r="E168" s="12" t="n">
        <v>10</v>
      </c>
      <c r="F168" s="13" t="n">
        <v>0</v>
      </c>
      <c r="G168" s="14">
        <f>E168*(1+F168)</f>
        <v/>
      </c>
      <c r="H168" s="15" t="n">
        <v>175</v>
      </c>
      <c r="I168" s="16">
        <f>G168*H168</f>
        <v/>
      </c>
      <c r="J168" s="17" t="n"/>
      <c r="K168" s="17" t="n"/>
      <c r="L168" s="17" t="n"/>
      <c r="M168" s="17" t="n"/>
      <c r="N168" s="17" t="n"/>
      <c r="O168" s="18">
        <f>COUNT(J168:N168)</f>
        <v/>
      </c>
      <c r="P168" s="19">
        <f>IF(O168=0,"",MIN(J168:N168))</f>
        <v/>
      </c>
      <c r="Q168" s="10">
        <f>IF(O168=0,"",INDEX($J$3:$N$3,MATCH(P168,J168:N168,0)))</f>
        <v/>
      </c>
      <c r="R168" s="16">
        <f>IF(O168=0,"",AVERAGE(J168:N168))</f>
        <v/>
      </c>
      <c r="S168" s="20">
        <f>IF(O168&lt;2,"",MAX(J168:N168)/P168)</f>
        <v/>
      </c>
      <c r="T168" s="19">
        <f>IF(O168=0,"",G168*P168)</f>
        <v/>
      </c>
      <c r="U168" s="21">
        <f>IF(OR(O168=0,I168=0),"",T168/I168-1)</f>
        <v/>
      </c>
      <c r="V168" s="18">
        <f>IF(O168=0,"PENDENTE",IF(O168&gt;=5,"COMPLETO","PARCIAL"))</f>
        <v/>
      </c>
    </row>
    <row r="169">
      <c r="A169" s="9" t="inlineStr">
        <is>
          <t>REV-NICHO</t>
        </is>
      </c>
      <c r="B169" s="10" t="inlineStr">
        <is>
          <t>loucas</t>
        </is>
      </c>
      <c r="C169" s="11" t="inlineStr">
        <is>
          <t>Nicho de box 300 x 900 mm entre montantes (RU + ceramica)</t>
        </is>
      </c>
      <c r="D169" s="10" t="inlineStr">
        <is>
          <t>un</t>
        </is>
      </c>
      <c r="E169" s="12" t="n">
        <v>4</v>
      </c>
      <c r="F169" s="13" t="n">
        <v>0</v>
      </c>
      <c r="G169" s="14">
        <f>E169*(1+F169)</f>
        <v/>
      </c>
      <c r="H169" s="15" t="n">
        <v>420</v>
      </c>
      <c r="I169" s="16">
        <f>G169*H169</f>
        <v/>
      </c>
      <c r="J169" s="17" t="n"/>
      <c r="K169" s="17" t="n"/>
      <c r="L169" s="17" t="n"/>
      <c r="M169" s="17" t="n"/>
      <c r="N169" s="17" t="n"/>
      <c r="O169" s="18">
        <f>COUNT(J169:N169)</f>
        <v/>
      </c>
      <c r="P169" s="19">
        <f>IF(O169=0,"",MIN(J169:N169))</f>
        <v/>
      </c>
      <c r="Q169" s="10">
        <f>IF(O169=0,"",INDEX($J$3:$N$3,MATCH(P169,J169:N169,0)))</f>
        <v/>
      </c>
      <c r="R169" s="16">
        <f>IF(O169=0,"",AVERAGE(J169:N169))</f>
        <v/>
      </c>
      <c r="S169" s="20">
        <f>IF(O169&lt;2,"",MAX(J169:N169)/P169)</f>
        <v/>
      </c>
      <c r="T169" s="19">
        <f>IF(O169=0,"",G169*P169)</f>
        <v/>
      </c>
      <c r="U169" s="21">
        <f>IF(OR(O169=0,I169=0),"",T169/I169-1)</f>
        <v/>
      </c>
      <c r="V169" s="18">
        <f>IF(O169=0,"PENDENTE",IF(O169&gt;=5,"COMPLETO","PARCIAL"))</f>
        <v/>
      </c>
    </row>
    <row r="170">
      <c r="A170" s="9" t="inlineStr">
        <is>
          <t>MET-REG</t>
        </is>
      </c>
      <c r="B170" s="10" t="inlineStr">
        <is>
          <t>loucas</t>
        </is>
      </c>
      <c r="C170" s="11" t="inlineStr">
        <is>
          <t>Registro de gaveta e de pressao</t>
        </is>
      </c>
      <c r="D170" s="10" t="inlineStr">
        <is>
          <t>un</t>
        </is>
      </c>
      <c r="E170" s="12" t="n">
        <v>14</v>
      </c>
      <c r="F170" s="13" t="n">
        <v>0</v>
      </c>
      <c r="G170" s="14">
        <f>E170*(1+F170)</f>
        <v/>
      </c>
      <c r="H170" s="15" t="n">
        <v>95</v>
      </c>
      <c r="I170" s="16">
        <f>G170*H170</f>
        <v/>
      </c>
      <c r="J170" s="17" t="n"/>
      <c r="K170" s="17" t="n"/>
      <c r="L170" s="17" t="n"/>
      <c r="M170" s="17" t="n"/>
      <c r="N170" s="17" t="n"/>
      <c r="O170" s="18">
        <f>COUNT(J170:N170)</f>
        <v/>
      </c>
      <c r="P170" s="19">
        <f>IF(O170=0,"",MIN(J170:N170))</f>
        <v/>
      </c>
      <c r="Q170" s="10">
        <f>IF(O170=0,"",INDEX($J$3:$N$3,MATCH(P170,J170:N170,0)))</f>
        <v/>
      </c>
      <c r="R170" s="16">
        <f>IF(O170=0,"",AVERAGE(J170:N170))</f>
        <v/>
      </c>
      <c r="S170" s="20">
        <f>IF(O170&lt;2,"",MAX(J170:N170)/P170)</f>
        <v/>
      </c>
      <c r="T170" s="19">
        <f>IF(O170=0,"",G170*P170)</f>
        <v/>
      </c>
      <c r="U170" s="21">
        <f>IF(OR(O170=0,I170=0),"",T170/I170-1)</f>
        <v/>
      </c>
      <c r="V170" s="18">
        <f>IF(O170=0,"PENDENTE",IF(O170&gt;=5,"COMPLETO","PARCIAL"))</f>
        <v/>
      </c>
    </row>
    <row r="171">
      <c r="A171" s="9" t="inlineStr">
        <is>
          <t>MET-CHUV</t>
        </is>
      </c>
      <c r="B171" s="10" t="inlineStr">
        <is>
          <t>loucas</t>
        </is>
      </c>
      <c r="C171" s="11" t="inlineStr">
        <is>
          <t>Chuveiro eletrico 220 V</t>
        </is>
      </c>
      <c r="D171" s="10" t="inlineStr">
        <is>
          <t>un</t>
        </is>
      </c>
      <c r="E171" s="12" t="n">
        <v>4</v>
      </c>
      <c r="F171" s="13" t="n">
        <v>0</v>
      </c>
      <c r="G171" s="14">
        <f>E171*(1+F171)</f>
        <v/>
      </c>
      <c r="H171" s="15" t="n">
        <v>320</v>
      </c>
      <c r="I171" s="16">
        <f>G171*H171</f>
        <v/>
      </c>
      <c r="J171" s="17" t="n"/>
      <c r="K171" s="17" t="n"/>
      <c r="L171" s="17" t="n"/>
      <c r="M171" s="17" t="n"/>
      <c r="N171" s="17" t="n"/>
      <c r="O171" s="18">
        <f>COUNT(J171:N171)</f>
        <v/>
      </c>
      <c r="P171" s="19">
        <f>IF(O171=0,"",MIN(J171:N171))</f>
        <v/>
      </c>
      <c r="Q171" s="10">
        <f>IF(O171=0,"",INDEX($J$3:$N$3,MATCH(P171,J171:N171,0)))</f>
        <v/>
      </c>
      <c r="R171" s="16">
        <f>IF(O171=0,"",AVERAGE(J171:N171))</f>
        <v/>
      </c>
      <c r="S171" s="20">
        <f>IF(O171&lt;2,"",MAX(J171:N171)/P171)</f>
        <v/>
      </c>
      <c r="T171" s="19">
        <f>IF(O171=0,"",G171*P171)</f>
        <v/>
      </c>
      <c r="U171" s="21">
        <f>IF(OR(O171=0,I171=0),"",T171/I171-1)</f>
        <v/>
      </c>
      <c r="V171" s="18">
        <f>IF(O171=0,"PENDENTE",IF(O171&gt;=5,"COMPLETO","PARCIAL"))</f>
        <v/>
      </c>
    </row>
    <row r="172">
      <c r="A172" s="9" t="inlineStr">
        <is>
          <t>ELE-DR</t>
        </is>
      </c>
      <c r="B172" s="10" t="inlineStr">
        <is>
          <t>eletrica</t>
        </is>
      </c>
      <c r="C172" s="11" t="inlineStr">
        <is>
          <t>Disjuntor diferencial residual 30 mA</t>
        </is>
      </c>
      <c r="D172" s="10" t="inlineStr">
        <is>
          <t>un</t>
        </is>
      </c>
      <c r="E172" s="12" t="n">
        <v>6</v>
      </c>
      <c r="F172" s="13" t="n">
        <v>0</v>
      </c>
      <c r="G172" s="14">
        <f>E172*(1+F172)</f>
        <v/>
      </c>
      <c r="H172" s="15" t="n">
        <v>180</v>
      </c>
      <c r="I172" s="16">
        <f>G172*H172</f>
        <v/>
      </c>
      <c r="J172" s="17" t="n"/>
      <c r="K172" s="17" t="n"/>
      <c r="L172" s="17" t="n"/>
      <c r="M172" s="17" t="n"/>
      <c r="N172" s="17" t="n"/>
      <c r="O172" s="18">
        <f>COUNT(J172:N172)</f>
        <v/>
      </c>
      <c r="P172" s="19">
        <f>IF(O172=0,"",MIN(J172:N172))</f>
        <v/>
      </c>
      <c r="Q172" s="10">
        <f>IF(O172=0,"",INDEX($J$3:$N$3,MATCH(P172,J172:N172,0)))</f>
        <v/>
      </c>
      <c r="R172" s="16">
        <f>IF(O172=0,"",AVERAGE(J172:N172))</f>
        <v/>
      </c>
      <c r="S172" s="20">
        <f>IF(O172&lt;2,"",MAX(J172:N172)/P172)</f>
        <v/>
      </c>
      <c r="T172" s="19">
        <f>IF(O172=0,"",G172*P172)</f>
        <v/>
      </c>
      <c r="U172" s="21">
        <f>IF(OR(O172=0,I172=0),"",T172/I172-1)</f>
        <v/>
      </c>
      <c r="V172" s="18">
        <f>IF(O172=0,"PENDENTE",IF(O172&gt;=5,"COMPLETO","PARCIAL"))</f>
        <v/>
      </c>
    </row>
    <row r="173">
      <c r="A173" s="9" t="inlineStr">
        <is>
          <t>MET-DUCHA</t>
        </is>
      </c>
      <c r="B173" s="10" t="inlineStr">
        <is>
          <t>loucas</t>
        </is>
      </c>
      <c r="C173" s="11" t="inlineStr">
        <is>
          <t>Ducha higienica com registro</t>
        </is>
      </c>
      <c r="D173" s="10" t="inlineStr">
        <is>
          <t>un</t>
        </is>
      </c>
      <c r="E173" s="12" t="n">
        <v>5</v>
      </c>
      <c r="F173" s="13" t="n">
        <v>0</v>
      </c>
      <c r="G173" s="14">
        <f>E173*(1+F173)</f>
        <v/>
      </c>
      <c r="H173" s="15" t="n">
        <v>210</v>
      </c>
      <c r="I173" s="16">
        <f>G173*H173</f>
        <v/>
      </c>
      <c r="J173" s="17" t="n"/>
      <c r="K173" s="17" t="n"/>
      <c r="L173" s="17" t="n"/>
      <c r="M173" s="17" t="n"/>
      <c r="N173" s="17" t="n"/>
      <c r="O173" s="18">
        <f>COUNT(J173:N173)</f>
        <v/>
      </c>
      <c r="P173" s="19">
        <f>IF(O173=0,"",MIN(J173:N173))</f>
        <v/>
      </c>
      <c r="Q173" s="10">
        <f>IF(O173=0,"",INDEX($J$3:$N$3,MATCH(P173,J173:N173,0)))</f>
        <v/>
      </c>
      <c r="R173" s="16">
        <f>IF(O173=0,"",AVERAGE(J173:N173))</f>
        <v/>
      </c>
      <c r="S173" s="20">
        <f>IF(O173&lt;2,"",MAX(J173:N173)/P173)</f>
        <v/>
      </c>
      <c r="T173" s="19">
        <f>IF(O173=0,"",G173*P173)</f>
        <v/>
      </c>
      <c r="U173" s="21">
        <f>IF(OR(O173=0,I173=0),"",T173/I173-1)</f>
        <v/>
      </c>
      <c r="V173" s="18">
        <f>IF(O173=0,"PENDENTE",IF(O173&gt;=5,"COMPLETO","PARCIAL"))</f>
        <v/>
      </c>
    </row>
    <row r="174">
      <c r="A174" s="9" t="inlineStr">
        <is>
          <t>SPD-DESCIDA</t>
        </is>
      </c>
      <c r="B174" s="10" t="inlineStr">
        <is>
          <t>eletrica</t>
        </is>
      </c>
      <c r="C174" s="11" t="inlineStr">
        <is>
          <t>Descida natural pela estrutura LSF: conector de teste e ligacao</t>
        </is>
      </c>
      <c r="D174" s="10" t="inlineStr">
        <is>
          <t>un</t>
        </is>
      </c>
      <c r="E174" s="12" t="n">
        <v>4</v>
      </c>
      <c r="F174" s="13" t="n">
        <v>0</v>
      </c>
      <c r="G174" s="14">
        <f>E174*(1+F174)</f>
        <v/>
      </c>
      <c r="H174" s="15" t="n">
        <v>260</v>
      </c>
      <c r="I174" s="16">
        <f>G174*H174</f>
        <v/>
      </c>
      <c r="J174" s="17" t="n"/>
      <c r="K174" s="17" t="n"/>
      <c r="L174" s="17" t="n"/>
      <c r="M174" s="17" t="n"/>
      <c r="N174" s="17" t="n"/>
      <c r="O174" s="18">
        <f>COUNT(J174:N174)</f>
        <v/>
      </c>
      <c r="P174" s="19">
        <f>IF(O174=0,"",MIN(J174:N174))</f>
        <v/>
      </c>
      <c r="Q174" s="10">
        <f>IF(O174=0,"",INDEX($J$3:$N$3,MATCH(P174,J174:N174,0)))</f>
        <v/>
      </c>
      <c r="R174" s="16">
        <f>IF(O174=0,"",AVERAGE(J174:N174))</f>
        <v/>
      </c>
      <c r="S174" s="20">
        <f>IF(O174&lt;2,"",MAX(J174:N174)/P174)</f>
        <v/>
      </c>
      <c r="T174" s="19">
        <f>IF(O174=0,"",G174*P174)</f>
        <v/>
      </c>
      <c r="U174" s="21">
        <f>IF(OR(O174=0,I174=0),"",T174/I174-1)</f>
        <v/>
      </c>
      <c r="V174" s="18">
        <f>IF(O174=0,"PENDENTE",IF(O174&gt;=5,"COMPLETO","PARCIAL"))</f>
        <v/>
      </c>
    </row>
    <row r="175">
      <c r="A175" s="9" t="inlineStr">
        <is>
          <t>LUM-ARANDELA</t>
        </is>
      </c>
      <c r="B175" s="10" t="inlineStr">
        <is>
          <t>eletrica</t>
        </is>
      </c>
      <c r="C175" s="11" t="inlineStr">
        <is>
          <t>Arandela LED IP44 de espelho, 8 W</t>
        </is>
      </c>
      <c r="D175" s="10" t="inlineStr">
        <is>
          <t>un</t>
        </is>
      </c>
      <c r="E175" s="12" t="n">
        <v>6</v>
      </c>
      <c r="F175" s="13" t="n">
        <v>0</v>
      </c>
      <c r="G175" s="14">
        <f>E175*(1+F175)</f>
        <v/>
      </c>
      <c r="H175" s="15" t="n">
        <v>160</v>
      </c>
      <c r="I175" s="16">
        <f>G175*H175</f>
        <v/>
      </c>
      <c r="J175" s="17" t="n"/>
      <c r="K175" s="17" t="n"/>
      <c r="L175" s="17" t="n"/>
      <c r="M175" s="17" t="n"/>
      <c r="N175" s="17" t="n"/>
      <c r="O175" s="18">
        <f>COUNT(J175:N175)</f>
        <v/>
      </c>
      <c r="P175" s="19">
        <f>IF(O175=0,"",MIN(J175:N175))</f>
        <v/>
      </c>
      <c r="Q175" s="10">
        <f>IF(O175=0,"",INDEX($J$3:$N$3,MATCH(P175,J175:N175,0)))</f>
        <v/>
      </c>
      <c r="R175" s="16">
        <f>IF(O175=0,"",AVERAGE(J175:N175))</f>
        <v/>
      </c>
      <c r="S175" s="20">
        <f>IF(O175&lt;2,"",MAX(J175:N175)/P175)</f>
        <v/>
      </c>
      <c r="T175" s="19">
        <f>IF(O175=0,"",G175*P175)</f>
        <v/>
      </c>
      <c r="U175" s="21">
        <f>IF(OR(O175=0,I175=0),"",T175/I175-1)</f>
        <v/>
      </c>
      <c r="V175" s="18">
        <f>IF(O175=0,"PENDENTE",IF(O175&gt;=5,"COMPLETO","PARCIAL"))</f>
        <v/>
      </c>
    </row>
    <row r="176">
      <c r="A176" s="9" t="inlineStr">
        <is>
          <t>SPD-DPS1</t>
        </is>
      </c>
      <c r="B176" s="10" t="inlineStr">
        <is>
          <t>eletrica</t>
        </is>
      </c>
      <c r="C176" s="11" t="inlineStr">
        <is>
          <t>DPS classe I, 12,5 kA, 3F+N, na entrada</t>
        </is>
      </c>
      <c r="D176" s="10" t="inlineStr">
        <is>
          <t>un</t>
        </is>
      </c>
      <c r="E176" s="12" t="n">
        <v>1</v>
      </c>
      <c r="F176" s="13" t="n">
        <v>0</v>
      </c>
      <c r="G176" s="14">
        <f>E176*(1+F176)</f>
        <v/>
      </c>
      <c r="H176" s="15" t="n">
        <v>890</v>
      </c>
      <c r="I176" s="16">
        <f>G176*H176</f>
        <v/>
      </c>
      <c r="J176" s="17" t="n"/>
      <c r="K176" s="17" t="n"/>
      <c r="L176" s="17" t="n"/>
      <c r="M176" s="17" t="n"/>
      <c r="N176" s="17" t="n"/>
      <c r="O176" s="18">
        <f>COUNT(J176:N176)</f>
        <v/>
      </c>
      <c r="P176" s="19">
        <f>IF(O176=0,"",MIN(J176:N176))</f>
        <v/>
      </c>
      <c r="Q176" s="10">
        <f>IF(O176=0,"",INDEX($J$3:$N$3,MATCH(P176,J176:N176,0)))</f>
        <v/>
      </c>
      <c r="R176" s="16">
        <f>IF(O176=0,"",AVERAGE(J176:N176))</f>
        <v/>
      </c>
      <c r="S176" s="20">
        <f>IF(O176&lt;2,"",MAX(J176:N176)/P176)</f>
        <v/>
      </c>
      <c r="T176" s="19">
        <f>IF(O176=0,"",G176*P176)</f>
        <v/>
      </c>
      <c r="U176" s="21">
        <f>IF(OR(O176=0,I176=0),"",T176/I176-1)</f>
        <v/>
      </c>
      <c r="V176" s="18">
        <f>IF(O176=0,"PENDENTE",IF(O176&gt;=5,"COMPLETO","PARCIAL"))</f>
        <v/>
      </c>
    </row>
    <row r="177">
      <c r="A177" s="9" t="inlineStr">
        <is>
          <t>MET-DUCHA-TETO</t>
        </is>
      </c>
      <c r="B177" s="10" t="inlineStr">
        <is>
          <t>loucas</t>
        </is>
      </c>
      <c r="C177" s="11" t="inlineStr">
        <is>
          <t>Ducha de teto 250 mm com desviador (box &gt;= 1.400)</t>
        </is>
      </c>
      <c r="D177" s="10" t="inlineStr">
        <is>
          <t>un</t>
        </is>
      </c>
      <c r="E177" s="12" t="n">
        <v>1</v>
      </c>
      <c r="F177" s="13" t="n">
        <v>0</v>
      </c>
      <c r="G177" s="14">
        <f>E177*(1+F177)</f>
        <v/>
      </c>
      <c r="H177" s="15" t="n">
        <v>890</v>
      </c>
      <c r="I177" s="16">
        <f>G177*H177</f>
        <v/>
      </c>
      <c r="J177" s="17" t="n"/>
      <c r="K177" s="17" t="n"/>
      <c r="L177" s="17" t="n"/>
      <c r="M177" s="17" t="n"/>
      <c r="N177" s="17" t="n"/>
      <c r="O177" s="18">
        <f>COUNT(J177:N177)</f>
        <v/>
      </c>
      <c r="P177" s="19">
        <f>IF(O177=0,"",MIN(J177:N177))</f>
        <v/>
      </c>
      <c r="Q177" s="10">
        <f>IF(O177=0,"",INDEX($J$3:$N$3,MATCH(P177,J177:N177,0)))</f>
        <v/>
      </c>
      <c r="R177" s="16">
        <f>IF(O177=0,"",AVERAGE(J177:N177))</f>
        <v/>
      </c>
      <c r="S177" s="20">
        <f>IF(O177&lt;2,"",MAX(J177:N177)/P177)</f>
        <v/>
      </c>
      <c r="T177" s="19">
        <f>IF(O177=0,"",G177*P177)</f>
        <v/>
      </c>
      <c r="U177" s="21">
        <f>IF(OR(O177=0,I177=0),"",T177/I177-1)</f>
        <v/>
      </c>
      <c r="V177" s="18">
        <f>IF(O177=0,"PENDENTE",IF(O177&gt;=5,"COMPLETO","PARCIAL"))</f>
        <v/>
      </c>
    </row>
    <row r="178">
      <c r="A178" s="9" t="inlineStr">
        <is>
          <t>ELE-INT</t>
        </is>
      </c>
      <c r="B178" s="10" t="inlineStr">
        <is>
          <t>eletrica</t>
        </is>
      </c>
      <c r="C178" s="11" t="inlineStr">
        <is>
          <t>Interruptor simples e paralelo com placa</t>
        </is>
      </c>
      <c r="D178" s="10" t="inlineStr">
        <is>
          <t>un</t>
        </is>
      </c>
      <c r="E178" s="12" t="n">
        <v>27</v>
      </c>
      <c r="F178" s="13" t="n">
        <v>0</v>
      </c>
      <c r="G178" s="14">
        <f>E178*(1+F178)</f>
        <v/>
      </c>
      <c r="H178" s="15" t="n">
        <v>32</v>
      </c>
      <c r="I178" s="16">
        <f>G178*H178</f>
        <v/>
      </c>
      <c r="J178" s="17" t="n"/>
      <c r="K178" s="17" t="n"/>
      <c r="L178" s="17" t="n"/>
      <c r="M178" s="17" t="n"/>
      <c r="N178" s="17" t="n"/>
      <c r="O178" s="18">
        <f>COUNT(J178:N178)</f>
        <v/>
      </c>
      <c r="P178" s="19">
        <f>IF(O178=0,"",MIN(J178:N178))</f>
        <v/>
      </c>
      <c r="Q178" s="10">
        <f>IF(O178=0,"",INDEX($J$3:$N$3,MATCH(P178,J178:N178,0)))</f>
        <v/>
      </c>
      <c r="R178" s="16">
        <f>IF(O178=0,"",AVERAGE(J178:N178))</f>
        <v/>
      </c>
      <c r="S178" s="20">
        <f>IF(O178&lt;2,"",MAX(J178:N178)/P178)</f>
        <v/>
      </c>
      <c r="T178" s="19">
        <f>IF(O178=0,"",G178*P178)</f>
        <v/>
      </c>
      <c r="U178" s="21">
        <f>IF(OR(O178=0,I178=0),"",T178/I178-1)</f>
        <v/>
      </c>
      <c r="V178" s="18">
        <f>IF(O178=0,"PENDENTE",IF(O178&gt;=5,"COMPLETO","PARCIAL"))</f>
        <v/>
      </c>
    </row>
    <row r="179">
      <c r="A179" s="9" t="inlineStr">
        <is>
          <t>LUM-PENDENTE40</t>
        </is>
      </c>
      <c r="B179" s="10" t="inlineStr">
        <is>
          <t>eletrica</t>
        </is>
      </c>
      <c r="C179" s="11" t="inlineStr">
        <is>
          <t>Pendente LED de pe-direito duplo, 40 W</t>
        </is>
      </c>
      <c r="D179" s="10" t="inlineStr">
        <is>
          <t>un</t>
        </is>
      </c>
      <c r="E179" s="12" t="n">
        <v>2</v>
      </c>
      <c r="F179" s="13" t="n">
        <v>0</v>
      </c>
      <c r="G179" s="14">
        <f>E179*(1+F179)</f>
        <v/>
      </c>
      <c r="H179" s="15" t="n">
        <v>420</v>
      </c>
      <c r="I179" s="16">
        <f>G179*H179</f>
        <v/>
      </c>
      <c r="J179" s="17" t="n"/>
      <c r="K179" s="17" t="n"/>
      <c r="L179" s="17" t="n"/>
      <c r="M179" s="17" t="n"/>
      <c r="N179" s="17" t="n"/>
      <c r="O179" s="18">
        <f>COUNT(J179:N179)</f>
        <v/>
      </c>
      <c r="P179" s="19">
        <f>IF(O179=0,"",MIN(J179:N179))</f>
        <v/>
      </c>
      <c r="Q179" s="10">
        <f>IF(O179=0,"",INDEX($J$3:$N$3,MATCH(P179,J179:N179,0)))</f>
        <v/>
      </c>
      <c r="R179" s="16">
        <f>IF(O179=0,"",AVERAGE(J179:N179))</f>
        <v/>
      </c>
      <c r="S179" s="20">
        <f>IF(O179&lt;2,"",MAX(J179:N179)/P179)</f>
        <v/>
      </c>
      <c r="T179" s="19">
        <f>IF(O179=0,"",G179*P179)</f>
        <v/>
      </c>
      <c r="U179" s="21">
        <f>IF(OR(O179=0,I179=0),"",T179/I179-1)</f>
        <v/>
      </c>
      <c r="V179" s="18">
        <f>IF(O179=0,"PENDENTE",IF(O179&gt;=5,"COMPLETO","PARCIAL"))</f>
        <v/>
      </c>
    </row>
    <row r="180">
      <c r="A180" s="9" t="inlineStr">
        <is>
          <t>LOU-ASSENTO</t>
        </is>
      </c>
      <c r="B180" s="10" t="inlineStr">
        <is>
          <t>loucas</t>
        </is>
      </c>
      <c r="C180" s="11" t="inlineStr">
        <is>
          <t>Assento sanitario com amortecedor</t>
        </is>
      </c>
      <c r="D180" s="10" t="inlineStr">
        <is>
          <t>un</t>
        </is>
      </c>
      <c r="E180" s="12" t="n">
        <v>5</v>
      </c>
      <c r="F180" s="13" t="n">
        <v>0</v>
      </c>
      <c r="G180" s="14">
        <f>E180*(1+F180)</f>
        <v/>
      </c>
      <c r="H180" s="15" t="n">
        <v>140</v>
      </c>
      <c r="I180" s="16">
        <f>G180*H180</f>
        <v/>
      </c>
      <c r="J180" s="17" t="n"/>
      <c r="K180" s="17" t="n"/>
      <c r="L180" s="17" t="n"/>
      <c r="M180" s="17" t="n"/>
      <c r="N180" s="17" t="n"/>
      <c r="O180" s="18">
        <f>COUNT(J180:N180)</f>
        <v/>
      </c>
      <c r="P180" s="19">
        <f>IF(O180=0,"",MIN(J180:N180))</f>
        <v/>
      </c>
      <c r="Q180" s="10">
        <f>IF(O180=0,"",INDEX($J$3:$N$3,MATCH(P180,J180:N180,0)))</f>
        <v/>
      </c>
      <c r="R180" s="16">
        <f>IF(O180=0,"",AVERAGE(J180:N180))</f>
        <v/>
      </c>
      <c r="S180" s="20">
        <f>IF(O180&lt;2,"",MAX(J180:N180)/P180)</f>
        <v/>
      </c>
      <c r="T180" s="19">
        <f>IF(O180=0,"",G180*P180)</f>
        <v/>
      </c>
      <c r="U180" s="21">
        <f>IF(OR(O180=0,I180=0),"",T180/I180-1)</f>
        <v/>
      </c>
      <c r="V180" s="18">
        <f>IF(O180=0,"PENDENTE",IF(O180&gt;=5,"COMPLETO","PARCIAL"))</f>
        <v/>
      </c>
    </row>
    <row r="181">
      <c r="A181" s="9" t="inlineStr">
        <is>
          <t>ELE-TUE</t>
        </is>
      </c>
      <c r="B181" s="10" t="inlineStr">
        <is>
          <t>eletrica</t>
        </is>
      </c>
      <c r="C181" s="11" t="inlineStr">
        <is>
          <t>Tomada de uso especifico 20 A com placa</t>
        </is>
      </c>
      <c r="D181" s="10" t="inlineStr">
        <is>
          <t>un</t>
        </is>
      </c>
      <c r="E181" s="12" t="n">
        <v>25</v>
      </c>
      <c r="F181" s="13" t="n">
        <v>0</v>
      </c>
      <c r="G181" s="14">
        <f>E181*(1+F181)</f>
        <v/>
      </c>
      <c r="H181" s="15" t="n">
        <v>28</v>
      </c>
      <c r="I181" s="16">
        <f>G181*H181</f>
        <v/>
      </c>
      <c r="J181" s="17" t="n"/>
      <c r="K181" s="17" t="n"/>
      <c r="L181" s="17" t="n"/>
      <c r="M181" s="17" t="n"/>
      <c r="N181" s="17" t="n"/>
      <c r="O181" s="18">
        <f>COUNT(J181:N181)</f>
        <v/>
      </c>
      <c r="P181" s="19">
        <f>IF(O181=0,"",MIN(J181:N181))</f>
        <v/>
      </c>
      <c r="Q181" s="10">
        <f>IF(O181=0,"",INDEX($J$3:$N$3,MATCH(P181,J181:N181,0)))</f>
        <v/>
      </c>
      <c r="R181" s="16">
        <f>IF(O181=0,"",AVERAGE(J181:N181))</f>
        <v/>
      </c>
      <c r="S181" s="20">
        <f>IF(O181&lt;2,"",MAX(J181:N181)/P181)</f>
        <v/>
      </c>
      <c r="T181" s="19">
        <f>IF(O181=0,"",G181*P181)</f>
        <v/>
      </c>
      <c r="U181" s="21">
        <f>IF(OR(O181=0,I181=0),"",T181/I181-1)</f>
        <v/>
      </c>
      <c r="V181" s="18">
        <f>IF(O181=0,"PENDENTE",IF(O181&gt;=5,"COMPLETO","PARCIAL"))</f>
        <v/>
      </c>
    </row>
    <row r="182">
      <c r="A182" s="9" t="inlineStr">
        <is>
          <t>FV-STRINGBOX</t>
        </is>
      </c>
      <c r="B182" s="10" t="inlineStr">
        <is>
          <t>eletrica</t>
        </is>
      </c>
      <c r="C182" s="11" t="inlineStr">
        <is>
          <t>String box CC com DPS e seccionadora</t>
        </is>
      </c>
      <c r="D182" s="10" t="inlineStr">
        <is>
          <t>un</t>
        </is>
      </c>
      <c r="E182" s="12" t="n">
        <v>1</v>
      </c>
      <c r="F182" s="13" t="n">
        <v>0</v>
      </c>
      <c r="G182" s="14">
        <f>E182*(1+F182)</f>
        <v/>
      </c>
      <c r="H182" s="15" t="n">
        <v>680</v>
      </c>
      <c r="I182" s="16">
        <f>G182*H182</f>
        <v/>
      </c>
      <c r="J182" s="17" t="n"/>
      <c r="K182" s="17" t="n"/>
      <c r="L182" s="17" t="n"/>
      <c r="M182" s="17" t="n"/>
      <c r="N182" s="17" t="n"/>
      <c r="O182" s="18">
        <f>COUNT(J182:N182)</f>
        <v/>
      </c>
      <c r="P182" s="19">
        <f>IF(O182=0,"",MIN(J182:N182))</f>
        <v/>
      </c>
      <c r="Q182" s="10">
        <f>IF(O182=0,"",INDEX($J$3:$N$3,MATCH(P182,J182:N182,0)))</f>
        <v/>
      </c>
      <c r="R182" s="16">
        <f>IF(O182=0,"",AVERAGE(J182:N182))</f>
        <v/>
      </c>
      <c r="S182" s="20">
        <f>IF(O182&lt;2,"",MAX(J182:N182)/P182)</f>
        <v/>
      </c>
      <c r="T182" s="19">
        <f>IF(O182=0,"",G182*P182)</f>
        <v/>
      </c>
      <c r="U182" s="21">
        <f>IF(OR(O182=0,I182=0),"",T182/I182-1)</f>
        <v/>
      </c>
      <c r="V182" s="18">
        <f>IF(O182=0,"PENDENTE",IF(O182&gt;=5,"COMPLETO","PARCIAL"))</f>
        <v/>
      </c>
    </row>
    <row r="183">
      <c r="A183" s="9" t="inlineStr">
        <is>
          <t>SPD-ENSAIO</t>
        </is>
      </c>
      <c r="B183" s="10" t="inlineStr">
        <is>
          <t>eletrica</t>
        </is>
      </c>
      <c r="C183" s="11" t="inlineStr">
        <is>
          <t>Ensaio de continuidade e resistencia de aterramento</t>
        </is>
      </c>
      <c r="D183" s="10" t="inlineStr">
        <is>
          <t>un</t>
        </is>
      </c>
      <c r="E183" s="12" t="n">
        <v>1</v>
      </c>
      <c r="F183" s="13" t="n">
        <v>0</v>
      </c>
      <c r="G183" s="14">
        <f>E183*(1+F183)</f>
        <v/>
      </c>
      <c r="H183" s="15" t="n">
        <v>650</v>
      </c>
      <c r="I183" s="16">
        <f>G183*H183</f>
        <v/>
      </c>
      <c r="J183" s="17" t="n"/>
      <c r="K183" s="17" t="n"/>
      <c r="L183" s="17" t="n"/>
      <c r="M183" s="17" t="n"/>
      <c r="N183" s="17" t="n"/>
      <c r="O183" s="18">
        <f>COUNT(J183:N183)</f>
        <v/>
      </c>
      <c r="P183" s="19">
        <f>IF(O183=0,"",MIN(J183:N183))</f>
        <v/>
      </c>
      <c r="Q183" s="10">
        <f>IF(O183=0,"",INDEX($J$3:$N$3,MATCH(P183,J183:N183,0)))</f>
        <v/>
      </c>
      <c r="R183" s="16">
        <f>IF(O183=0,"",AVERAGE(J183:N183))</f>
        <v/>
      </c>
      <c r="S183" s="20">
        <f>IF(O183&lt;2,"",MAX(J183:N183)/P183)</f>
        <v/>
      </c>
      <c r="T183" s="19">
        <f>IF(O183=0,"",G183*P183)</f>
        <v/>
      </c>
      <c r="U183" s="21">
        <f>IF(OR(O183=0,I183=0),"",T183/I183-1)</f>
        <v/>
      </c>
      <c r="V183" s="18">
        <f>IF(O183=0,"PENDENTE",IF(O183&gt;=5,"COMPLETO","PARCIAL"))</f>
        <v/>
      </c>
    </row>
    <row r="184">
      <c r="A184" s="9" t="inlineStr">
        <is>
          <t>LOU-TANQUE</t>
        </is>
      </c>
      <c r="B184" s="10" t="inlineStr">
        <is>
          <t>loucas</t>
        </is>
      </c>
      <c r="C184" s="11" t="inlineStr">
        <is>
          <t>Tanque de lavanderia</t>
        </is>
      </c>
      <c r="D184" s="10" t="inlineStr">
        <is>
          <t>un</t>
        </is>
      </c>
      <c r="E184" s="12" t="n">
        <v>2</v>
      </c>
      <c r="F184" s="13" t="n">
        <v>0</v>
      </c>
      <c r="G184" s="14">
        <f>E184*(1+F184)</f>
        <v/>
      </c>
      <c r="H184" s="15" t="n">
        <v>320</v>
      </c>
      <c r="I184" s="16">
        <f>G184*H184</f>
        <v/>
      </c>
      <c r="J184" s="17" t="n"/>
      <c r="K184" s="17" t="n"/>
      <c r="L184" s="17" t="n"/>
      <c r="M184" s="17" t="n"/>
      <c r="N184" s="17" t="n"/>
      <c r="O184" s="18">
        <f>COUNT(J184:N184)</f>
        <v/>
      </c>
      <c r="P184" s="19">
        <f>IF(O184=0,"",MIN(J184:N184))</f>
        <v/>
      </c>
      <c r="Q184" s="10">
        <f>IF(O184=0,"",INDEX($J$3:$N$3,MATCH(P184,J184:N184,0)))</f>
        <v/>
      </c>
      <c r="R184" s="16">
        <f>IF(O184=0,"",AVERAGE(J184:N184))</f>
        <v/>
      </c>
      <c r="S184" s="20">
        <f>IF(O184&lt;2,"",MAX(J184:N184)/P184)</f>
        <v/>
      </c>
      <c r="T184" s="19">
        <f>IF(O184=0,"",G184*P184)</f>
        <v/>
      </c>
      <c r="U184" s="21">
        <f>IF(OR(O184=0,I184=0),"",T184/I184-1)</f>
        <v/>
      </c>
      <c r="V184" s="18">
        <f>IF(O184=0,"PENDENTE",IF(O184&gt;=5,"COMPLETO","PARCIAL"))</f>
        <v/>
      </c>
    </row>
    <row r="185">
      <c r="A185" s="9" t="inlineStr">
        <is>
          <t>MET-TORN-T</t>
        </is>
      </c>
      <c r="B185" s="10" t="inlineStr">
        <is>
          <t>loucas</t>
        </is>
      </c>
      <c r="C185" s="11" t="inlineStr">
        <is>
          <t>Torneira de tanque e de jardim</t>
        </is>
      </c>
      <c r="D185" s="10" t="inlineStr">
        <is>
          <t>un</t>
        </is>
      </c>
      <c r="E185" s="12" t="n">
        <v>4</v>
      </c>
      <c r="F185" s="13" t="n">
        <v>0</v>
      </c>
      <c r="G185" s="14">
        <f>E185*(1+F185)</f>
        <v/>
      </c>
      <c r="H185" s="15" t="n">
        <v>160</v>
      </c>
      <c r="I185" s="16">
        <f>G185*H185</f>
        <v/>
      </c>
      <c r="J185" s="17" t="n"/>
      <c r="K185" s="17" t="n"/>
      <c r="L185" s="17" t="n"/>
      <c r="M185" s="17" t="n"/>
      <c r="N185" s="17" t="n"/>
      <c r="O185" s="18">
        <f>COUNT(J185:N185)</f>
        <v/>
      </c>
      <c r="P185" s="19">
        <f>IF(O185=0,"",MIN(J185:N185))</f>
        <v/>
      </c>
      <c r="Q185" s="10">
        <f>IF(O185=0,"",INDEX($J$3:$N$3,MATCH(P185,J185:N185,0)))</f>
        <v/>
      </c>
      <c r="R185" s="16">
        <f>IF(O185=0,"",AVERAGE(J185:N185))</f>
        <v/>
      </c>
      <c r="S185" s="20">
        <f>IF(O185&lt;2,"",MAX(J185:N185)/P185)</f>
        <v/>
      </c>
      <c r="T185" s="19">
        <f>IF(O185=0,"",G185*P185)</f>
        <v/>
      </c>
      <c r="U185" s="21">
        <f>IF(OR(O185=0,I185=0),"",T185/I185-1)</f>
        <v/>
      </c>
      <c r="V185" s="18">
        <f>IF(O185=0,"PENDENTE",IF(O185&gt;=5,"COMPLETO","PARCIAL"))</f>
        <v/>
      </c>
    </row>
    <row r="186">
      <c r="A186" s="9" t="inlineStr">
        <is>
          <t>MET-ENGATE</t>
        </is>
      </c>
      <c r="B186" s="10" t="inlineStr">
        <is>
          <t>loucas</t>
        </is>
      </c>
      <c r="C186" s="11" t="inlineStr">
        <is>
          <t>Engate flexivel</t>
        </is>
      </c>
      <c r="D186" s="10" t="inlineStr">
        <is>
          <t>un</t>
        </is>
      </c>
      <c r="E186" s="12" t="n">
        <v>27</v>
      </c>
      <c r="F186" s="13" t="n">
        <v>0</v>
      </c>
      <c r="G186" s="14">
        <f>E186*(1+F186)</f>
        <v/>
      </c>
      <c r="H186" s="15" t="n">
        <v>22</v>
      </c>
      <c r="I186" s="16">
        <f>G186*H186</f>
        <v/>
      </c>
      <c r="J186" s="17" t="n"/>
      <c r="K186" s="17" t="n"/>
      <c r="L186" s="17" t="n"/>
      <c r="M186" s="17" t="n"/>
      <c r="N186" s="17" t="n"/>
      <c r="O186" s="18">
        <f>COUNT(J186:N186)</f>
        <v/>
      </c>
      <c r="P186" s="19">
        <f>IF(O186=0,"",MIN(J186:N186))</f>
        <v/>
      </c>
      <c r="Q186" s="10">
        <f>IF(O186=0,"",INDEX($J$3:$N$3,MATCH(P186,J186:N186,0)))</f>
        <v/>
      </c>
      <c r="R186" s="16">
        <f>IF(O186=0,"",AVERAGE(J186:N186))</f>
        <v/>
      </c>
      <c r="S186" s="20">
        <f>IF(O186&lt;2,"",MAX(J186:N186)/P186)</f>
        <v/>
      </c>
      <c r="T186" s="19">
        <f>IF(O186=0,"",G186*P186)</f>
        <v/>
      </c>
      <c r="U186" s="21">
        <f>IF(OR(O186=0,I186=0),"",T186/I186-1)</f>
        <v/>
      </c>
      <c r="V186" s="18">
        <f>IF(O186=0,"PENDENTE",IF(O186&gt;=5,"COMPLETO","PARCIAL"))</f>
        <v/>
      </c>
    </row>
    <row r="187">
      <c r="A187" s="9" t="inlineStr">
        <is>
          <t>FV-CABO</t>
        </is>
      </c>
      <c r="B187" s="10" t="inlineStr">
        <is>
          <t>eletrica</t>
        </is>
      </c>
      <c r="C187" s="11" t="inlineStr">
        <is>
          <t>Cabo solar 6 mm2 e eletroduto ate o inversor</t>
        </is>
      </c>
      <c r="D187" s="10" t="inlineStr">
        <is>
          <t>m</t>
        </is>
      </c>
      <c r="E187" s="12" t="n">
        <v>40.3</v>
      </c>
      <c r="F187" s="13" t="n">
        <v>0</v>
      </c>
      <c r="G187" s="14">
        <f>E187*(1+F187)</f>
        <v/>
      </c>
      <c r="H187" s="15" t="n">
        <v>14</v>
      </c>
      <c r="I187" s="16">
        <f>G187*H187</f>
        <v/>
      </c>
      <c r="J187" s="17" t="n"/>
      <c r="K187" s="17" t="n"/>
      <c r="L187" s="17" t="n"/>
      <c r="M187" s="17" t="n"/>
      <c r="N187" s="17" t="n"/>
      <c r="O187" s="18">
        <f>COUNT(J187:N187)</f>
        <v/>
      </c>
      <c r="P187" s="19">
        <f>IF(O187=0,"",MIN(J187:N187))</f>
        <v/>
      </c>
      <c r="Q187" s="10">
        <f>IF(O187=0,"",INDEX($J$3:$N$3,MATCH(P187,J187:N187,0)))</f>
        <v/>
      </c>
      <c r="R187" s="16">
        <f>IF(O187=0,"",AVERAGE(J187:N187))</f>
        <v/>
      </c>
      <c r="S187" s="20">
        <f>IF(O187&lt;2,"",MAX(J187:N187)/P187)</f>
        <v/>
      </c>
      <c r="T187" s="19">
        <f>IF(O187=0,"",G187*P187)</f>
        <v/>
      </c>
      <c r="U187" s="21">
        <f>IF(OR(O187=0,I187=0),"",T187/I187-1)</f>
        <v/>
      </c>
      <c r="V187" s="18">
        <f>IF(O187=0,"PENDENTE",IF(O187&gt;=5,"COMPLETO","PARCIAL"))</f>
        <v/>
      </c>
    </row>
    <row r="188">
      <c r="A188" s="9" t="inlineStr">
        <is>
          <t>LUM-BALIZADOR</t>
        </is>
      </c>
      <c r="B188" s="10" t="inlineStr">
        <is>
          <t>eletrica</t>
        </is>
      </c>
      <c r="C188" s="11" t="inlineStr">
        <is>
          <t>Balizador LED de escada, 3 W</t>
        </is>
      </c>
      <c r="D188" s="10" t="inlineStr">
        <is>
          <t>un</t>
        </is>
      </c>
      <c r="E188" s="12" t="n">
        <v>6</v>
      </c>
      <c r="F188" s="13" t="n">
        <v>0</v>
      </c>
      <c r="G188" s="14">
        <f>E188*(1+F188)</f>
        <v/>
      </c>
      <c r="H188" s="15" t="n">
        <v>85</v>
      </c>
      <c r="I188" s="16">
        <f>G188*H188</f>
        <v/>
      </c>
      <c r="J188" s="17" t="n"/>
      <c r="K188" s="17" t="n"/>
      <c r="L188" s="17" t="n"/>
      <c r="M188" s="17" t="n"/>
      <c r="N188" s="17" t="n"/>
      <c r="O188" s="18">
        <f>COUNT(J188:N188)</f>
        <v/>
      </c>
      <c r="P188" s="19">
        <f>IF(O188=0,"",MIN(J188:N188))</f>
        <v/>
      </c>
      <c r="Q188" s="10">
        <f>IF(O188=0,"",INDEX($J$3:$N$3,MATCH(P188,J188:N188,0)))</f>
        <v/>
      </c>
      <c r="R188" s="16">
        <f>IF(O188=0,"",AVERAGE(J188:N188))</f>
        <v/>
      </c>
      <c r="S188" s="20">
        <f>IF(O188&lt;2,"",MAX(J188:N188)/P188)</f>
        <v/>
      </c>
      <c r="T188" s="19">
        <f>IF(O188=0,"",G188*P188)</f>
        <v/>
      </c>
      <c r="U188" s="21">
        <f>IF(OR(O188=0,I188=0),"",T188/I188-1)</f>
        <v/>
      </c>
      <c r="V188" s="18">
        <f>IF(O188=0,"PENDENTE",IF(O188&gt;=5,"COMPLETO","PARCIAL"))</f>
        <v/>
      </c>
    </row>
    <row r="189">
      <c r="A189" s="9" t="inlineStr">
        <is>
          <t>MET-VALV</t>
        </is>
      </c>
      <c r="B189" s="10" t="inlineStr">
        <is>
          <t>loucas</t>
        </is>
      </c>
      <c r="C189" s="11" t="inlineStr">
        <is>
          <t>Valvula de escoamento e de lavatorio</t>
        </is>
      </c>
      <c r="D189" s="10" t="inlineStr">
        <is>
          <t>un</t>
        </is>
      </c>
      <c r="E189" s="12" t="n">
        <v>11</v>
      </c>
      <c r="F189" s="13" t="n">
        <v>0</v>
      </c>
      <c r="G189" s="14">
        <f>E189*(1+F189)</f>
        <v/>
      </c>
      <c r="H189" s="15" t="n">
        <v>45</v>
      </c>
      <c r="I189" s="16">
        <f>G189*H189</f>
        <v/>
      </c>
      <c r="J189" s="17" t="n"/>
      <c r="K189" s="17" t="n"/>
      <c r="L189" s="17" t="n"/>
      <c r="M189" s="17" t="n"/>
      <c r="N189" s="17" t="n"/>
      <c r="O189" s="18">
        <f>COUNT(J189:N189)</f>
        <v/>
      </c>
      <c r="P189" s="19">
        <f>IF(O189=0,"",MIN(J189:N189))</f>
        <v/>
      </c>
      <c r="Q189" s="10">
        <f>IF(O189=0,"",INDEX($J$3:$N$3,MATCH(P189,J189:N189,0)))</f>
        <v/>
      </c>
      <c r="R189" s="16">
        <f>IF(O189=0,"",AVERAGE(J189:N189))</f>
        <v/>
      </c>
      <c r="S189" s="20">
        <f>IF(O189&lt;2,"",MAX(J189:N189)/P189)</f>
        <v/>
      </c>
      <c r="T189" s="19">
        <f>IF(O189=0,"",G189*P189)</f>
        <v/>
      </c>
      <c r="U189" s="21">
        <f>IF(OR(O189=0,I189=0),"",T189/I189-1)</f>
        <v/>
      </c>
      <c r="V189" s="18">
        <f>IF(O189=0,"PENDENTE",IF(O189&gt;=5,"COMPLETO","PARCIAL"))</f>
        <v/>
      </c>
    </row>
    <row r="190">
      <c r="A190" s="9" t="inlineStr">
        <is>
          <t>SPD-BEP</t>
        </is>
      </c>
      <c r="B190" s="10" t="inlineStr">
        <is>
          <t>eletrica</t>
        </is>
      </c>
      <c r="C190" s="11" t="inlineStr">
        <is>
          <t>Barramento de equipotencializacao principal</t>
        </is>
      </c>
      <c r="D190" s="10" t="inlineStr">
        <is>
          <t>un</t>
        </is>
      </c>
      <c r="E190" s="12" t="n">
        <v>1</v>
      </c>
      <c r="F190" s="13" t="n">
        <v>0</v>
      </c>
      <c r="G190" s="14">
        <f>E190*(1+F190)</f>
        <v/>
      </c>
      <c r="H190" s="15" t="n">
        <v>420</v>
      </c>
      <c r="I190" s="16">
        <f>G190*H190</f>
        <v/>
      </c>
      <c r="J190" s="17" t="n"/>
      <c r="K190" s="17" t="n"/>
      <c r="L190" s="17" t="n"/>
      <c r="M190" s="17" t="n"/>
      <c r="N190" s="17" t="n"/>
      <c r="O190" s="18">
        <f>COUNT(J190:N190)</f>
        <v/>
      </c>
      <c r="P190" s="19">
        <f>IF(O190=0,"",MIN(J190:N190))</f>
        <v/>
      </c>
      <c r="Q190" s="10">
        <f>IF(O190=0,"",INDEX($J$3:$N$3,MATCH(P190,J190:N190,0)))</f>
        <v/>
      </c>
      <c r="R190" s="16">
        <f>IF(O190=0,"",AVERAGE(J190:N190))</f>
        <v/>
      </c>
      <c r="S190" s="20">
        <f>IF(O190&lt;2,"",MAX(J190:N190)/P190)</f>
        <v/>
      </c>
      <c r="T190" s="19">
        <f>IF(O190=0,"",G190*P190)</f>
        <v/>
      </c>
      <c r="U190" s="21">
        <f>IF(OR(O190=0,I190=0),"",T190/I190-1)</f>
        <v/>
      </c>
      <c r="V190" s="18">
        <f>IF(O190=0,"PENDENTE",IF(O190&gt;=5,"COMPLETO","PARCIAL"))</f>
        <v/>
      </c>
    </row>
    <row r="191">
      <c r="A191" s="9" t="inlineStr">
        <is>
          <t>MET-SIFAO</t>
        </is>
      </c>
      <c r="B191" s="10" t="inlineStr">
        <is>
          <t>loucas</t>
        </is>
      </c>
      <c r="C191" s="11" t="inlineStr">
        <is>
          <t>Sifao flexivel</t>
        </is>
      </c>
      <c r="D191" s="10" t="inlineStr">
        <is>
          <t>un</t>
        </is>
      </c>
      <c r="E191" s="12" t="n">
        <v>11</v>
      </c>
      <c r="F191" s="13" t="n">
        <v>0</v>
      </c>
      <c r="G191" s="14">
        <f>E191*(1+F191)</f>
        <v/>
      </c>
      <c r="H191" s="15" t="n">
        <v>38</v>
      </c>
      <c r="I191" s="16">
        <f>G191*H191</f>
        <v/>
      </c>
      <c r="J191" s="17" t="n"/>
      <c r="K191" s="17" t="n"/>
      <c r="L191" s="17" t="n"/>
      <c r="M191" s="17" t="n"/>
      <c r="N191" s="17" t="n"/>
      <c r="O191" s="18">
        <f>COUNT(J191:N191)</f>
        <v/>
      </c>
      <c r="P191" s="19">
        <f>IF(O191=0,"",MIN(J191:N191))</f>
        <v/>
      </c>
      <c r="Q191" s="10">
        <f>IF(O191=0,"",INDEX($J$3:$N$3,MATCH(P191,J191:N191,0)))</f>
        <v/>
      </c>
      <c r="R191" s="16">
        <f>IF(O191=0,"",AVERAGE(J191:N191))</f>
        <v/>
      </c>
      <c r="S191" s="20">
        <f>IF(O191&lt;2,"",MAX(J191:N191)/P191)</f>
        <v/>
      </c>
      <c r="T191" s="19">
        <f>IF(O191=0,"",G191*P191)</f>
        <v/>
      </c>
      <c r="U191" s="21">
        <f>IF(OR(O191=0,I191=0),"",T191/I191-1)</f>
        <v/>
      </c>
      <c r="V191" s="18">
        <f>IF(O191=0,"PENDENTE",IF(O191&gt;=5,"COMPLETO","PARCIAL"))</f>
        <v/>
      </c>
    </row>
    <row r="192">
      <c r="A192" s="9" t="inlineStr">
        <is>
          <t>SPD-HASTE</t>
        </is>
      </c>
      <c r="B192" s="10" t="inlineStr">
        <is>
          <t>eletrica</t>
        </is>
      </c>
      <c r="C192" s="11" t="inlineStr">
        <is>
          <t>Haste de aterramento 5/8 x 2.400 mm</t>
        </is>
      </c>
      <c r="D192" s="10" t="inlineStr">
        <is>
          <t>un</t>
        </is>
      </c>
      <c r="E192" s="12" t="n">
        <v>4</v>
      </c>
      <c r="F192" s="13" t="n">
        <v>0</v>
      </c>
      <c r="G192" s="14">
        <f>E192*(1+F192)</f>
        <v/>
      </c>
      <c r="H192" s="15" t="n">
        <v>95</v>
      </c>
      <c r="I192" s="16">
        <f>G192*H192</f>
        <v/>
      </c>
      <c r="J192" s="17" t="n"/>
      <c r="K192" s="17" t="n"/>
      <c r="L192" s="17" t="n"/>
      <c r="M192" s="17" t="n"/>
      <c r="N192" s="17" t="n"/>
      <c r="O192" s="18">
        <f>COUNT(J192:N192)</f>
        <v/>
      </c>
      <c r="P192" s="19">
        <f>IF(O192=0,"",MIN(J192:N192))</f>
        <v/>
      </c>
      <c r="Q192" s="10">
        <f>IF(O192=0,"",INDEX($J$3:$N$3,MATCH(P192,J192:N192,0)))</f>
        <v/>
      </c>
      <c r="R192" s="16">
        <f>IF(O192=0,"",AVERAGE(J192:N192))</f>
        <v/>
      </c>
      <c r="S192" s="20">
        <f>IF(O192&lt;2,"",MAX(J192:N192)/P192)</f>
        <v/>
      </c>
      <c r="T192" s="19">
        <f>IF(O192=0,"",G192*P192)</f>
        <v/>
      </c>
      <c r="U192" s="21">
        <f>IF(OR(O192=0,I192=0),"",T192/I192-1)</f>
        <v/>
      </c>
      <c r="V192" s="18">
        <f>IF(O192=0,"PENDENTE",IF(O192&gt;=5,"COMPLETO","PARCIAL"))</f>
        <v/>
      </c>
    </row>
    <row r="193">
      <c r="A193" s="9" t="inlineStr">
        <is>
          <t>LUM-DOWNLIGHT12</t>
        </is>
      </c>
      <c r="B193" s="10" t="inlineStr">
        <is>
          <t>eletrica</t>
        </is>
      </c>
      <c r="C193" s="11" t="inlineStr">
        <is>
          <t>Downlight LED embutido 12 W</t>
        </is>
      </c>
      <c r="D193" s="10" t="inlineStr">
        <is>
          <t>un</t>
        </is>
      </c>
      <c r="E193" s="12" t="n">
        <v>4</v>
      </c>
      <c r="F193" s="13" t="n">
        <v>0</v>
      </c>
      <c r="G193" s="14">
        <f>E193*(1+F193)</f>
        <v/>
      </c>
      <c r="H193" s="15" t="n">
        <v>95</v>
      </c>
      <c r="I193" s="16">
        <f>G193*H193</f>
        <v/>
      </c>
      <c r="J193" s="17" t="n"/>
      <c r="K193" s="17" t="n"/>
      <c r="L193" s="17" t="n"/>
      <c r="M193" s="17" t="n"/>
      <c r="N193" s="17" t="n"/>
      <c r="O193" s="18">
        <f>COUNT(J193:N193)</f>
        <v/>
      </c>
      <c r="P193" s="19">
        <f>IF(O193=0,"",MIN(J193:N193))</f>
        <v/>
      </c>
      <c r="Q193" s="10">
        <f>IF(O193=0,"",INDEX($J$3:$N$3,MATCH(P193,J193:N193,0)))</f>
        <v/>
      </c>
      <c r="R193" s="16">
        <f>IF(O193=0,"",AVERAGE(J193:N193))</f>
        <v/>
      </c>
      <c r="S193" s="20">
        <f>IF(O193&lt;2,"",MAX(J193:N193)/P193)</f>
        <v/>
      </c>
      <c r="T193" s="19">
        <f>IF(O193=0,"",G193*P193)</f>
        <v/>
      </c>
      <c r="U193" s="21">
        <f>IF(OR(O193=0,I193=0),"",T193/I193-1)</f>
        <v/>
      </c>
      <c r="V193" s="18">
        <f>IF(O193=0,"PENDENTE",IF(O193&gt;=5,"COMPLETO","PARCIAL"))</f>
        <v/>
      </c>
    </row>
    <row r="194">
      <c r="A194" s="9" t="inlineStr">
        <is>
          <t>ELE-DPS</t>
        </is>
      </c>
      <c r="B194" s="10" t="inlineStr">
        <is>
          <t>eletrica</t>
        </is>
      </c>
      <c r="C194" s="11" t="inlineStr">
        <is>
          <t>Dispositivo de protecao contra surtos</t>
        </is>
      </c>
      <c r="D194" s="10" t="inlineStr">
        <is>
          <t>un</t>
        </is>
      </c>
      <c r="E194" s="12" t="n">
        <v>2</v>
      </c>
      <c r="F194" s="13" t="n">
        <v>0</v>
      </c>
      <c r="G194" s="14">
        <f>E194*(1+F194)</f>
        <v/>
      </c>
      <c r="H194" s="15" t="n">
        <v>120</v>
      </c>
      <c r="I194" s="16">
        <f>G194*H194</f>
        <v/>
      </c>
      <c r="J194" s="17" t="n"/>
      <c r="K194" s="17" t="n"/>
      <c r="L194" s="17" t="n"/>
      <c r="M194" s="17" t="n"/>
      <c r="N194" s="17" t="n"/>
      <c r="O194" s="18">
        <f>COUNT(J194:N194)</f>
        <v/>
      </c>
      <c r="P194" s="19">
        <f>IF(O194=0,"",MIN(J194:N194))</f>
        <v/>
      </c>
      <c r="Q194" s="10">
        <f>IF(O194=0,"",INDEX($J$3:$N$3,MATCH(P194,J194:N194,0)))</f>
        <v/>
      </c>
      <c r="R194" s="16">
        <f>IF(O194=0,"",AVERAGE(J194:N194))</f>
        <v/>
      </c>
      <c r="S194" s="20">
        <f>IF(O194&lt;2,"",MAX(J194:N194)/P194)</f>
        <v/>
      </c>
      <c r="T194" s="19">
        <f>IF(O194=0,"",G194*P194)</f>
        <v/>
      </c>
      <c r="U194" s="21">
        <f>IF(OR(O194=0,I194=0),"",T194/I194-1)</f>
        <v/>
      </c>
      <c r="V194" s="18">
        <f>IF(O194=0,"PENDENTE",IF(O194&gt;=5,"COMPLETO","PARCIAL"))</f>
        <v/>
      </c>
    </row>
    <row r="195">
      <c r="A195" s="22" t="n"/>
      <c r="B195" s="22" t="n"/>
      <c r="C195" s="23" t="inlineStr">
        <is>
          <t>TOTAL GERAL</t>
        </is>
      </c>
      <c r="D195" s="22" t="n"/>
      <c r="E195" s="22" t="n"/>
      <c r="F195" s="22" t="n"/>
      <c r="G195" s="22" t="n"/>
      <c r="H195" s="22" t="n"/>
      <c r="I195" s="24">
        <f>SUM(I4:I194)</f>
        <v/>
      </c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4">
        <f>SUM(T4:T194)</f>
        <v/>
      </c>
      <c r="U195" s="25">
        <f>IF(T195=0,"",T195/I195-1)</f>
        <v/>
      </c>
      <c r="V195" s="22" t="n"/>
    </row>
    <row r="197">
      <c r="C197" s="2" t="inlineStr">
        <is>
          <t>Itens: 191 · linhas cotáveis com especificação completa: 133 · com lacuna a esclarecer com o fornecedor: 130</t>
        </is>
      </c>
    </row>
    <row r="198">
      <c r="C198" s="2" t="inlineStr">
        <is>
          <t>Passe o mouse sobre a DESCRIÇÃO para ver a especificação completa, as normas e a lacuna de cada item.</t>
        </is>
      </c>
    </row>
  </sheetData>
  <autoFilter ref="A3:V194"/>
  <conditionalFormatting sqref="V4:V194">
    <cfRule type="cellIs" priority="1" operator="equal" dxfId="0">
      <formula>"PENDENTE"</formula>
    </cfRule>
    <cfRule type="cellIs" priority="2" operator="equal" dxfId="1">
      <formula>"PARCIAL"</formula>
    </cfRule>
    <cfRule type="cellIs" priority="6" operator="equal" dxfId="2">
      <formula>"COMPLETO"</formula>
    </cfRule>
  </conditionalFormatting>
  <conditionalFormatting sqref="U4:U194">
    <cfRule type="cellIs" priority="3" operator="greaterThan" dxfId="0">
      <formula>0.15</formula>
    </cfRule>
    <cfRule type="cellIs" priority="4" operator="lessThan" dxfId="2">
      <formula>-0.15</formula>
    </cfRule>
  </conditionalFormatting>
  <conditionalFormatting sqref="S4:S194">
    <cfRule type="cellIs" priority="5" operator="greaterThan" dxfId="0">
      <formula>1.5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8" customWidth="1" min="3" max="3"/>
    <col width="62" customWidth="1" min="4" max="4"/>
    <col width="8" customWidth="1" min="5" max="5"/>
    <col width="18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RESUMO POR FAMÍLIA</t>
        </is>
      </c>
    </row>
    <row r="2">
      <c r="A2" s="2" t="inlineStr">
        <is>
          <t>Tudo aqui é fórmula sobre a aba COTAÇÃO: lançou um preço lá, muda aqui.</t>
        </is>
      </c>
    </row>
    <row r="4">
      <c r="A4" s="26" t="inlineStr">
        <is>
          <t>FAMÍLIA</t>
        </is>
      </c>
      <c r="B4" s="26" t="inlineStr">
        <is>
          <t>ITENS</t>
        </is>
      </c>
      <c r="C4" s="26" t="inlineStr">
        <is>
          <t>TOTAL REF. (H)</t>
        </is>
      </c>
      <c r="D4" s="26" t="inlineStr">
        <is>
          <t>% DO CUSTO</t>
        </is>
      </c>
      <c r="E4" s="26" t="inlineStr">
        <is>
          <t>ABC</t>
        </is>
      </c>
      <c r="F4" s="26" t="inlineStr">
        <is>
          <t>TOTAL COTADO</t>
        </is>
      </c>
      <c r="G4" s="26" t="inlineStr">
        <is>
          <t>Δ vs REF.</t>
        </is>
      </c>
      <c r="H4" s="26" t="inlineStr">
        <is>
          <t>ITENS COTADOS</t>
        </is>
      </c>
      <c r="I4" s="26" t="inlineStr">
        <is>
          <t>COBERTURA</t>
        </is>
      </c>
    </row>
    <row r="5">
      <c r="A5" s="9" t="inlineStr">
        <is>
          <t>vedacao</t>
        </is>
      </c>
      <c r="B5" s="18" t="n">
        <v>17</v>
      </c>
      <c r="C5" s="27">
        <f>SUMIF(COTAÇÃO!$B$4:$B$194,$A5,COTAÇÃO!$I$4:$I$194)</f>
        <v/>
      </c>
      <c r="D5" s="21">
        <f>IF($C$21=0,0,C5/$C$21)</f>
        <v/>
      </c>
      <c r="E5" s="18">
        <f>IF(D5&gt;=0.1,"A",IF(D5&gt;=0.03,"B","C"))</f>
        <v/>
      </c>
      <c r="F5" s="27">
        <f>SUMIF(COTAÇÃO!$B$4:$B$194,$A5,COTAÇÃO!$T$4:$T$194)</f>
        <v/>
      </c>
      <c r="G5" s="21">
        <f>IF(OR(F5=0,C5=0),"",F5/C5-1)</f>
        <v/>
      </c>
      <c r="H5" s="18">
        <f>COUNTIFS(COTAÇÃO!$B$4:$B$194,$A5,COTAÇÃO!$O$4:$O$194,"&gt;0")</f>
        <v/>
      </c>
      <c r="I5" s="21">
        <f>IF(B5=0,0,H5/B5)</f>
        <v/>
      </c>
    </row>
    <row r="6">
      <c r="A6" s="9" t="inlineStr">
        <is>
          <t>externo</t>
        </is>
      </c>
      <c r="B6" s="18" t="n">
        <v>36</v>
      </c>
      <c r="C6" s="27">
        <f>SUMIF(COTAÇÃO!$B$4:$B$194,$A6,COTAÇÃO!$I$4:$I$194)</f>
        <v/>
      </c>
      <c r="D6" s="21">
        <f>IF($C$21=0,0,C6/$C$21)</f>
        <v/>
      </c>
      <c r="E6" s="18">
        <f>IF(D6&gt;=0.1,"A",IF(D6&gt;=0.03,"B","C"))</f>
        <v/>
      </c>
      <c r="F6" s="27">
        <f>SUMIF(COTAÇÃO!$B$4:$B$194,$A6,COTAÇÃO!$T$4:$T$194)</f>
        <v/>
      </c>
      <c r="G6" s="21">
        <f>IF(OR(F6=0,C6=0),"",F6/C6-1)</f>
        <v/>
      </c>
      <c r="H6" s="18">
        <f>COUNTIFS(COTAÇÃO!$B$4:$B$194,$A6,COTAÇÃO!$O$4:$O$194,"&gt;0")</f>
        <v/>
      </c>
      <c r="I6" s="21">
        <f>IF(B6=0,0,H6/B6)</f>
        <v/>
      </c>
    </row>
    <row r="7">
      <c r="A7" s="9" t="inlineStr">
        <is>
          <t>esquadria</t>
        </is>
      </c>
      <c r="B7" s="18" t="n">
        <v>9</v>
      </c>
      <c r="C7" s="27">
        <f>SUMIF(COTAÇÃO!$B$4:$B$194,$A7,COTAÇÃO!$I$4:$I$194)</f>
        <v/>
      </c>
      <c r="D7" s="21">
        <f>IF($C$21=0,0,C7/$C$21)</f>
        <v/>
      </c>
      <c r="E7" s="18">
        <f>IF(D7&gt;=0.1,"A",IF(D7&gt;=0.03,"B","C"))</f>
        <v/>
      </c>
      <c r="F7" s="27">
        <f>SUMIF(COTAÇÃO!$B$4:$B$194,$A7,COTAÇÃO!$T$4:$T$194)</f>
        <v/>
      </c>
      <c r="G7" s="21">
        <f>IF(OR(F7=0,C7=0),"",F7/C7-1)</f>
        <v/>
      </c>
      <c r="H7" s="18">
        <f>COUNTIFS(COTAÇÃO!$B$4:$B$194,$A7,COTAÇÃO!$O$4:$O$194,"&gt;0")</f>
        <v/>
      </c>
      <c r="I7" s="21">
        <f>IF(B7=0,0,H7/B7)</f>
        <v/>
      </c>
    </row>
    <row r="8">
      <c r="A8" s="9" t="inlineStr">
        <is>
          <t>fachada</t>
        </is>
      </c>
      <c r="B8" s="18" t="n">
        <v>12</v>
      </c>
      <c r="C8" s="27">
        <f>SUMIF(COTAÇÃO!$B$4:$B$194,$A8,COTAÇÃO!$I$4:$I$194)</f>
        <v/>
      </c>
      <c r="D8" s="21">
        <f>IF($C$21=0,0,C8/$C$21)</f>
        <v/>
      </c>
      <c r="E8" s="18">
        <f>IF(D8&gt;=0.1,"A",IF(D8&gt;=0.03,"B","C"))</f>
        <v/>
      </c>
      <c r="F8" s="27">
        <f>SUMIF(COTAÇÃO!$B$4:$B$194,$A8,COTAÇÃO!$T$4:$T$194)</f>
        <v/>
      </c>
      <c r="G8" s="21">
        <f>IF(OR(F8=0,C8=0),"",F8/C8-1)</f>
        <v/>
      </c>
      <c r="H8" s="18">
        <f>COUNTIFS(COTAÇÃO!$B$4:$B$194,$A8,COTAÇÃO!$O$4:$O$194,"&gt;0")</f>
        <v/>
      </c>
      <c r="I8" s="21">
        <f>IF(B8=0,0,H8/B8)</f>
        <v/>
      </c>
    </row>
    <row r="9">
      <c r="A9" s="9" t="inlineStr">
        <is>
          <t>marcenaria</t>
        </is>
      </c>
      <c r="B9" s="18" t="n">
        <v>7</v>
      </c>
      <c r="C9" s="27">
        <f>SUMIF(COTAÇÃO!$B$4:$B$194,$A9,COTAÇÃO!$I$4:$I$194)</f>
        <v/>
      </c>
      <c r="D9" s="21">
        <f>IF($C$21=0,0,C9/$C$21)</f>
        <v/>
      </c>
      <c r="E9" s="18">
        <f>IF(D9&gt;=0.1,"A",IF(D9&gt;=0.03,"B","C"))</f>
        <v/>
      </c>
      <c r="F9" s="27">
        <f>SUMIF(COTAÇÃO!$B$4:$B$194,$A9,COTAÇÃO!$T$4:$T$194)</f>
        <v/>
      </c>
      <c r="G9" s="21">
        <f>IF(OR(F9=0,C9=0),"",F9/C9-1)</f>
        <v/>
      </c>
      <c r="H9" s="18">
        <f>COUNTIFS(COTAÇÃO!$B$4:$B$194,$A9,COTAÇÃO!$O$4:$O$194,"&gt;0")</f>
        <v/>
      </c>
      <c r="I9" s="21">
        <f>IF(B9=0,0,H9/B9)</f>
        <v/>
      </c>
    </row>
    <row r="10">
      <c r="A10" s="9" t="inlineStr">
        <is>
          <t>eletrica</t>
        </is>
      </c>
      <c r="B10" s="18" t="n">
        <v>27</v>
      </c>
      <c r="C10" s="27">
        <f>SUMIF(COTAÇÃO!$B$4:$B$194,$A10,COTAÇÃO!$I$4:$I$194)</f>
        <v/>
      </c>
      <c r="D10" s="21">
        <f>IF($C$21=0,0,C10/$C$21)</f>
        <v/>
      </c>
      <c r="E10" s="18">
        <f>IF(D10&gt;=0.1,"A",IF(D10&gt;=0.03,"B","C"))</f>
        <v/>
      </c>
      <c r="F10" s="27">
        <f>SUMIF(COTAÇÃO!$B$4:$B$194,$A10,COTAÇÃO!$T$4:$T$194)</f>
        <v/>
      </c>
      <c r="G10" s="21">
        <f>IF(OR(F10=0,C10=0),"",F10/C10-1)</f>
        <v/>
      </c>
      <c r="H10" s="18">
        <f>COUNTIFS(COTAÇÃO!$B$4:$B$194,$A10,COTAÇÃO!$O$4:$O$194,"&gt;0")</f>
        <v/>
      </c>
      <c r="I10" s="21">
        <f>IF(B10=0,0,H10/B10)</f>
        <v/>
      </c>
    </row>
    <row r="11">
      <c r="A11" s="9" t="inlineStr">
        <is>
          <t>revestimento</t>
        </is>
      </c>
      <c r="B11" s="18" t="n">
        <v>6</v>
      </c>
      <c r="C11" s="27">
        <f>SUMIF(COTAÇÃO!$B$4:$B$194,$A11,COTAÇÃO!$I$4:$I$194)</f>
        <v/>
      </c>
      <c r="D11" s="21">
        <f>IF($C$21=0,0,C11/$C$21)</f>
        <v/>
      </c>
      <c r="E11" s="18">
        <f>IF(D11&gt;=0.1,"A",IF(D11&gt;=0.03,"B","C"))</f>
        <v/>
      </c>
      <c r="F11" s="27">
        <f>SUMIF(COTAÇÃO!$B$4:$B$194,$A11,COTAÇÃO!$T$4:$T$194)</f>
        <v/>
      </c>
      <c r="G11" s="21">
        <f>IF(OR(F11=0,C11=0),"",F11/C11-1)</f>
        <v/>
      </c>
      <c r="H11" s="18">
        <f>COUNTIFS(COTAÇÃO!$B$4:$B$194,$A11,COTAÇÃO!$O$4:$O$194,"&gt;0")</f>
        <v/>
      </c>
      <c r="I11" s="21">
        <f>IF(B11=0,0,H11/B11)</f>
        <v/>
      </c>
    </row>
    <row r="12">
      <c r="A12" s="9" t="inlineStr">
        <is>
          <t>fundacao</t>
        </is>
      </c>
      <c r="B12" s="18" t="n">
        <v>11</v>
      </c>
      <c r="C12" s="27">
        <f>SUMIF(COTAÇÃO!$B$4:$B$194,$A12,COTAÇÃO!$I$4:$I$194)</f>
        <v/>
      </c>
      <c r="D12" s="21">
        <f>IF($C$21=0,0,C12/$C$21)</f>
        <v/>
      </c>
      <c r="E12" s="18">
        <f>IF(D12&gt;=0.1,"A",IF(D12&gt;=0.03,"B","C"))</f>
        <v/>
      </c>
      <c r="F12" s="27">
        <f>SUMIF(COTAÇÃO!$B$4:$B$194,$A12,COTAÇÃO!$T$4:$T$194)</f>
        <v/>
      </c>
      <c r="G12" s="21">
        <f>IF(OR(F12=0,C12=0),"",F12/C12-1)</f>
        <v/>
      </c>
      <c r="H12" s="18">
        <f>COUNTIFS(COTAÇÃO!$B$4:$B$194,$A12,COTAÇÃO!$O$4:$O$194,"&gt;0")</f>
        <v/>
      </c>
      <c r="I12" s="21">
        <f>IF(B12=0,0,H12/B12)</f>
        <v/>
      </c>
    </row>
    <row r="13">
      <c r="A13" s="9" t="inlineStr">
        <is>
          <t>estrutura</t>
        </is>
      </c>
      <c r="B13" s="18" t="n">
        <v>1</v>
      </c>
      <c r="C13" s="27">
        <f>SUMIF(COTAÇÃO!$B$4:$B$194,$A13,COTAÇÃO!$I$4:$I$194)</f>
        <v/>
      </c>
      <c r="D13" s="21">
        <f>IF($C$21=0,0,C13/$C$21)</f>
        <v/>
      </c>
      <c r="E13" s="18">
        <f>IF(D13&gt;=0.1,"A",IF(D13&gt;=0.03,"B","C"))</f>
        <v/>
      </c>
      <c r="F13" s="27">
        <f>SUMIF(COTAÇÃO!$B$4:$B$194,$A13,COTAÇÃO!$T$4:$T$194)</f>
        <v/>
      </c>
      <c r="G13" s="21">
        <f>IF(OR(F13=0,C13=0),"",F13/C13-1)</f>
        <v/>
      </c>
      <c r="H13" s="18">
        <f>COUNTIFS(COTAÇÃO!$B$4:$B$194,$A13,COTAÇÃO!$O$4:$O$194,"&gt;0")</f>
        <v/>
      </c>
      <c r="I13" s="21">
        <f>IF(B13=0,0,H13/B13)</f>
        <v/>
      </c>
    </row>
    <row r="14">
      <c r="A14" s="9" t="inlineStr">
        <is>
          <t>instalacao</t>
        </is>
      </c>
      <c r="B14" s="18" t="n">
        <v>28</v>
      </c>
      <c r="C14" s="27">
        <f>SUMIF(COTAÇÃO!$B$4:$B$194,$A14,COTAÇÃO!$I$4:$I$194)</f>
        <v/>
      </c>
      <c r="D14" s="21">
        <f>IF($C$21=0,0,C14/$C$21)</f>
        <v/>
      </c>
      <c r="E14" s="18">
        <f>IF(D14&gt;=0.1,"A",IF(D14&gt;=0.03,"B","C"))</f>
        <v/>
      </c>
      <c r="F14" s="27">
        <f>SUMIF(COTAÇÃO!$B$4:$B$194,$A14,COTAÇÃO!$T$4:$T$194)</f>
        <v/>
      </c>
      <c r="G14" s="21">
        <f>IF(OR(F14=0,C14=0),"",F14/C14-1)</f>
        <v/>
      </c>
      <c r="H14" s="18">
        <f>COUNTIFS(COTAÇÃO!$B$4:$B$194,$A14,COTAÇÃO!$O$4:$O$194,"&gt;0")</f>
        <v/>
      </c>
      <c r="I14" s="21">
        <f>IF(B14=0,0,H14/B14)</f>
        <v/>
      </c>
    </row>
    <row r="15">
      <c r="A15" s="9" t="inlineStr">
        <is>
          <t>servico</t>
        </is>
      </c>
      <c r="B15" s="18" t="n">
        <v>2</v>
      </c>
      <c r="C15" s="27">
        <f>SUMIF(COTAÇÃO!$B$4:$B$194,$A15,COTAÇÃO!$I$4:$I$194)</f>
        <v/>
      </c>
      <c r="D15" s="21">
        <f>IF($C$21=0,0,C15/$C$21)</f>
        <v/>
      </c>
      <c r="E15" s="18">
        <f>IF(D15&gt;=0.1,"A",IF(D15&gt;=0.03,"B","C"))</f>
        <v/>
      </c>
      <c r="F15" s="27">
        <f>SUMIF(COTAÇÃO!$B$4:$B$194,$A15,COTAÇÃO!$T$4:$T$194)</f>
        <v/>
      </c>
      <c r="G15" s="21">
        <f>IF(OR(F15=0,C15=0),"",F15/C15-1)</f>
        <v/>
      </c>
      <c r="H15" s="18">
        <f>COUNTIFS(COTAÇÃO!$B$4:$B$194,$A15,COTAÇÃO!$O$4:$O$194,"&gt;0")</f>
        <v/>
      </c>
      <c r="I15" s="21">
        <f>IF(B15=0,0,H15/B15)</f>
        <v/>
      </c>
    </row>
    <row r="16">
      <c r="A16" s="9" t="inlineStr">
        <is>
          <t>pintura</t>
        </is>
      </c>
      <c r="B16" s="18" t="n">
        <v>4</v>
      </c>
      <c r="C16" s="27">
        <f>SUMIF(COTAÇÃO!$B$4:$B$194,$A16,COTAÇÃO!$I$4:$I$194)</f>
        <v/>
      </c>
      <c r="D16" s="21">
        <f>IF($C$21=0,0,C16/$C$21)</f>
        <v/>
      </c>
      <c r="E16" s="18">
        <f>IF(D16&gt;=0.1,"A",IF(D16&gt;=0.03,"B","C"))</f>
        <v/>
      </c>
      <c r="F16" s="27">
        <f>SUMIF(COTAÇÃO!$B$4:$B$194,$A16,COTAÇÃO!$T$4:$T$194)</f>
        <v/>
      </c>
      <c r="G16" s="21">
        <f>IF(OR(F16=0,C16=0),"",F16/C16-1)</f>
        <v/>
      </c>
      <c r="H16" s="18">
        <f>COUNTIFS(COTAÇÃO!$B$4:$B$194,$A16,COTAÇÃO!$O$4:$O$194,"&gt;0")</f>
        <v/>
      </c>
      <c r="I16" s="21">
        <f>IF(B16=0,0,H16/B16)</f>
        <v/>
      </c>
    </row>
    <row r="17">
      <c r="A17" s="9" t="inlineStr">
        <is>
          <t>loucas</t>
        </is>
      </c>
      <c r="B17" s="18" t="n">
        <v>17</v>
      </c>
      <c r="C17" s="27">
        <f>SUMIF(COTAÇÃO!$B$4:$B$194,$A17,COTAÇÃO!$I$4:$I$194)</f>
        <v/>
      </c>
      <c r="D17" s="21">
        <f>IF($C$21=0,0,C17/$C$21)</f>
        <v/>
      </c>
      <c r="E17" s="18">
        <f>IF(D17&gt;=0.1,"A",IF(D17&gt;=0.03,"B","C"))</f>
        <v/>
      </c>
      <c r="F17" s="27">
        <f>SUMIF(COTAÇÃO!$B$4:$B$194,$A17,COTAÇÃO!$T$4:$T$194)</f>
        <v/>
      </c>
      <c r="G17" s="21">
        <f>IF(OR(F17=0,C17=0),"",F17/C17-1)</f>
        <v/>
      </c>
      <c r="H17" s="18">
        <f>COUNTIFS(COTAÇÃO!$B$4:$B$194,$A17,COTAÇÃO!$O$4:$O$194,"&gt;0")</f>
        <v/>
      </c>
      <c r="I17" s="21">
        <f>IF(B17=0,0,H17/B17)</f>
        <v/>
      </c>
    </row>
    <row r="18">
      <c r="A18" s="9" t="inlineStr">
        <is>
          <t>equipamentos</t>
        </is>
      </c>
      <c r="B18" s="18" t="n">
        <v>6</v>
      </c>
      <c r="C18" s="27">
        <f>SUMIF(COTAÇÃO!$B$4:$B$194,$A18,COTAÇÃO!$I$4:$I$194)</f>
        <v/>
      </c>
      <c r="D18" s="21">
        <f>IF($C$21=0,0,C18/$C$21)</f>
        <v/>
      </c>
      <c r="E18" s="18">
        <f>IF(D18&gt;=0.1,"A",IF(D18&gt;=0.03,"B","C"))</f>
        <v/>
      </c>
      <c r="F18" s="27">
        <f>SUMIF(COTAÇÃO!$B$4:$B$194,$A18,COTAÇÃO!$T$4:$T$194)</f>
        <v/>
      </c>
      <c r="G18" s="21">
        <f>IF(OR(F18=0,C18=0),"",F18/C18-1)</f>
        <v/>
      </c>
      <c r="H18" s="18">
        <f>COUNTIFS(COTAÇÃO!$B$4:$B$194,$A18,COTAÇÃO!$O$4:$O$194,"&gt;0")</f>
        <v/>
      </c>
      <c r="I18" s="21">
        <f>IF(B18=0,0,H18/B18)</f>
        <v/>
      </c>
    </row>
    <row r="19">
      <c r="A19" s="9" t="inlineStr">
        <is>
          <t>cobertura</t>
        </is>
      </c>
      <c r="B19" s="18" t="n">
        <v>7</v>
      </c>
      <c r="C19" s="27">
        <f>SUMIF(COTAÇÃO!$B$4:$B$194,$A19,COTAÇÃO!$I$4:$I$194)</f>
        <v/>
      </c>
      <c r="D19" s="21">
        <f>IF($C$21=0,0,C19/$C$21)</f>
        <v/>
      </c>
      <c r="E19" s="18">
        <f>IF(D19&gt;=0.1,"A",IF(D19&gt;=0.03,"B","C"))</f>
        <v/>
      </c>
      <c r="F19" s="27">
        <f>SUMIF(COTAÇÃO!$B$4:$B$194,$A19,COTAÇÃO!$T$4:$T$194)</f>
        <v/>
      </c>
      <c r="G19" s="21">
        <f>IF(OR(F19=0,C19=0),"",F19/C19-1)</f>
        <v/>
      </c>
      <c r="H19" s="18">
        <f>COUNTIFS(COTAÇÃO!$B$4:$B$194,$A19,COTAÇÃO!$O$4:$O$194,"&gt;0")</f>
        <v/>
      </c>
      <c r="I19" s="21">
        <f>IF(B19=0,0,H19/B19)</f>
        <v/>
      </c>
    </row>
    <row r="20">
      <c r="A20" s="9" t="inlineStr">
        <is>
          <t>ligacao</t>
        </is>
      </c>
      <c r="B20" s="18" t="n">
        <v>1</v>
      </c>
      <c r="C20" s="27">
        <f>SUMIF(COTAÇÃO!$B$4:$B$194,$A20,COTAÇÃO!$I$4:$I$194)</f>
        <v/>
      </c>
      <c r="D20" s="21">
        <f>IF($C$21=0,0,C20/$C$21)</f>
        <v/>
      </c>
      <c r="E20" s="18">
        <f>IF(D20&gt;=0.1,"A",IF(D20&gt;=0.03,"B","C"))</f>
        <v/>
      </c>
      <c r="F20" s="27">
        <f>SUMIF(COTAÇÃO!$B$4:$B$194,$A20,COTAÇÃO!$T$4:$T$194)</f>
        <v/>
      </c>
      <c r="G20" s="21">
        <f>IF(OR(F20=0,C20=0),"",F20/C20-1)</f>
        <v/>
      </c>
      <c r="H20" s="18">
        <f>COUNTIFS(COTAÇÃO!$B$4:$B$194,$A20,COTAÇÃO!$O$4:$O$194,"&gt;0")</f>
        <v/>
      </c>
      <c r="I20" s="21">
        <f>IF(B20=0,0,H20/B20)</f>
        <v/>
      </c>
    </row>
    <row r="21">
      <c r="A21" s="23" t="inlineStr">
        <is>
          <t>TOTAL</t>
        </is>
      </c>
      <c r="B21" s="28">
        <f>SUM(B5:B20)</f>
        <v/>
      </c>
      <c r="C21" s="29">
        <f>SUM(C5:C20)</f>
        <v/>
      </c>
      <c r="D21" s="30">
        <f>IF(C21=0,0,SUM(D5:D20))</f>
        <v/>
      </c>
      <c r="E21" s="22" t="n"/>
      <c r="F21" s="29">
        <f>SUM(F5:F20)</f>
        <v/>
      </c>
      <c r="G21" s="30">
        <f>IF(OR(F21=0,C21=0),"",F21/C21-1)</f>
        <v/>
      </c>
      <c r="H21" s="28">
        <f>SUM(H5:H20)</f>
        <v/>
      </c>
      <c r="I21" s="30">
        <f>IF(B21=0,0,H21/B21)</f>
        <v/>
      </c>
    </row>
    <row r="23">
      <c r="A23" s="3" t="inlineStr">
        <is>
          <t>INDICADORES</t>
        </is>
      </c>
    </row>
    <row r="24">
      <c r="A24" s="4" t="inlineStr">
        <is>
          <t>Área fechada do projeto (m²)</t>
        </is>
      </c>
      <c r="C24" s="31" t="n">
        <v>307.08</v>
      </c>
      <c r="D24" s="32" t="inlineStr">
        <is>
          <t>dado do modelo: soma dos ambientes fechados dos dois pavimentos</t>
        </is>
      </c>
    </row>
    <row r="25">
      <c r="A25" s="4" t="inlineStr">
        <is>
          <t>Total adotado (cotado se houver; senão referência)</t>
        </is>
      </c>
      <c r="C25" s="33">
        <f>IF(F21=0,C21,F21)</f>
        <v/>
      </c>
      <c r="D25" s="32" t="inlineStr">
        <is>
          <t>enquanto não houver proposta, a planilha trabalha com o preço (H)</t>
        </is>
      </c>
    </row>
    <row r="26">
      <c r="A26" s="4" t="inlineStr">
        <is>
          <t>Serviço (mão de obra de montagem já orçada)</t>
        </is>
      </c>
      <c r="C26" s="33">
        <f>IF(F21=0,SUMIF($A$5:$A$20,"servico",$C$5:$C$20),SUMIF($A$5:$A$20,"servico",$F$5:$F$20))</f>
        <v/>
      </c>
    </row>
    <row r="27">
      <c r="A27" s="4" t="inlineStr">
        <is>
          <t>Material (total menos serviço)</t>
        </is>
      </c>
      <c r="C27" s="33">
        <f>C25-C26</f>
        <v/>
      </c>
    </row>
    <row r="28">
      <c r="A28" s="4" t="inlineStr">
        <is>
          <t>Parcela de material na obra entregue</t>
        </is>
      </c>
      <c r="C28" s="34" t="n">
        <v>0.6</v>
      </c>
      <c r="D28" s="32" t="inlineStr">
        <is>
          <t>(H) de prática corrente. É a ponte entre orçamento de insumo e índice de obra pronta — mexa aqui para testar a sensibilidade</t>
        </is>
      </c>
    </row>
    <row r="29">
      <c r="A29" s="4" t="inlineStr">
        <is>
          <t>Obra entregue estimada</t>
        </is>
      </c>
      <c r="C29" s="33">
        <f>IF(C28=0,0,C27/C28)</f>
        <v/>
      </c>
      <c r="D29" s="32" t="inlineStr">
        <is>
          <t>quanto a casa custaria pronta, incluindo o que NÃO está nesta planilha</t>
        </is>
      </c>
    </row>
    <row r="30">
      <c r="A30" s="4" t="inlineStr">
        <is>
          <t>Custo desta planilha por m²</t>
        </is>
      </c>
      <c r="C30" s="35">
        <f>C25/C24</f>
        <v/>
      </c>
    </row>
    <row r="31">
      <c r="A31" s="4" t="inlineStr">
        <is>
          <t>Obra entregue estimada por m²</t>
        </is>
      </c>
      <c r="C31" s="35">
        <f>IF(C24=0,0,C29/C24)</f>
        <v/>
      </c>
      <c r="D31" s="32" t="inlineStr">
        <is>
          <t>compare com a aba REFERÊNCIAS: tem de ficar ABAIXO do índice de obra entregue, porque o escopo daqui é menor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6" customWidth="1" min="4" max="4"/>
    <col width="12" customWidth="1" min="5" max="5"/>
    <col width="72" customWidth="1" min="6" max="6"/>
    <col width="22" customWidth="1" min="7" max="7"/>
    <col width="46" customWidth="1" min="8" max="8"/>
    <col width="11" customWidth="1" min="9" max="9"/>
  </cols>
  <sheetData>
    <row r="1">
      <c r="A1" s="1" t="inlineStr">
        <is>
          <t>ESPECIFICAÇÕES — o texto que vai ao fornecedor</t>
        </is>
      </c>
    </row>
    <row r="2">
      <c r="A2" s="2" t="inlineStr">
        <is>
          <t>preco unitario por unidade indicada, em BRL, com data, validade, prazo de entrega e se o frete esta incluso. Proposta sem data nao entra na comparacao</t>
        </is>
      </c>
    </row>
    <row r="3">
      <c r="A3" s="26" t="inlineStr">
        <is>
          <t>ITEM</t>
        </is>
      </c>
      <c r="B3" s="26" t="inlineStr">
        <is>
          <t>FAMÍLIA</t>
        </is>
      </c>
      <c r="C3" s="26" t="inlineStr">
        <is>
          <t>DESCRIÇÃO</t>
        </is>
      </c>
      <c r="D3" s="26" t="inlineStr">
        <is>
          <t>UN</t>
        </is>
      </c>
      <c r="E3" s="26" t="inlineStr">
        <is>
          <t>QUANTIDADE</t>
        </is>
      </c>
      <c r="F3" s="26" t="inlineStr">
        <is>
          <t>ESPECIFICAÇÃO PARA COTAÇÃO</t>
        </is>
      </c>
      <c r="G3" s="26" t="inlineStr">
        <is>
          <t>NORMAS</t>
        </is>
      </c>
      <c r="H3" s="26" t="inlineStr">
        <is>
          <t>LACUNA A ESCLARECER</t>
        </is>
      </c>
      <c r="I3" s="26" t="inlineStr">
        <is>
          <t>COTÁVEL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4" t="n">
        <v>6698.1</v>
      </c>
      <c r="F4" s="11" t="inlineStr">
        <is>
          <t>perfil formado a frio em barra de 6.000 mm; aco ZAR 230, fy 230 MPa, fu 310 MPa; revestimento Z275; massa BRUTA, ja com a perda de corte (11.1 %)</t>
        </is>
      </c>
      <c r="G4" s="11" t="inlineStr">
        <is>
          <t>NBR 14762, NBR 15253, NBR 7008</t>
        </is>
      </c>
      <c r="H4" s="11" t="inlineStr"/>
      <c r="I4" s="18" t="inlineStr">
        <is>
          <t>sim</t>
        </is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4" t="n">
        <v>1037.9</v>
      </c>
      <c r="F5" s="11" t="inlineStr">
        <is>
          <t>Chapa de gesso; chapa 1200 x 2400 mm; espessura 12.5 mm</t>
        </is>
      </c>
      <c r="G5" s="11" t="inlineStr">
        <is>
          <t>NBR 14715</t>
        </is>
      </c>
      <c r="H5" s="11" t="inlineStr"/>
      <c r="I5" s="18" t="inlineStr">
        <is>
          <t>sim</t>
        </is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4" t="n">
        <v>157.7</v>
      </c>
      <c r="F6" s="11" t="inlineStr">
        <is>
          <t>Painel sandwich PIR; chapa 1000 x 12000 mm; espessura 75 mm</t>
        </is>
      </c>
      <c r="G6" s="11" t="inlineStr">
        <is>
          <t>NBR 16373</t>
        </is>
      </c>
      <c r="H6" s="11" t="inlineStr"/>
      <c r="I6" s="18" t="inlineStr">
        <is>
          <t>sim</t>
        </is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4" t="n">
        <v>329.4</v>
      </c>
      <c r="F7" s="11" t="inlineStr">
        <is>
          <t>Placa cimenticia; chapa 1200 x 2400 mm; espessura 10 mm</t>
        </is>
      </c>
      <c r="G7" s="11" t="inlineStr">
        <is>
          <t>NBR 15498</t>
        </is>
      </c>
      <c r="H7" s="11" t="inlineStr"/>
      <c r="I7" s="18" t="inlineStr">
        <is>
          <t>sim</t>
        </is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4" t="n">
        <v>489.5</v>
      </c>
      <c r="F8" s="11" t="inlineStr">
        <is>
          <t>La de rocha; chapa 1200 x 25000 mm; espessura 50 mm</t>
        </is>
      </c>
      <c r="G8" s="11" t="inlineStr">
        <is>
          <t>NBR 11722</t>
        </is>
      </c>
      <c r="H8" s="11" t="inlineStr"/>
      <c r="I8" s="18" t="inlineStr">
        <is>
          <t>sim</t>
        </is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4" t="n">
        <v>329.4</v>
      </c>
      <c r="F9" s="11" t="inlineStr">
        <is>
          <t>XPS; chapa 600 x 1250 mm; espessura 20 mm</t>
        </is>
      </c>
      <c r="G9" s="11" t="inlineStr">
        <is>
          <t>NBR 11752</t>
        </is>
      </c>
      <c r="H9" s="11" t="inlineStr"/>
      <c r="I9" s="18" t="inlineStr">
        <is>
          <t>sim</t>
        </is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4" t="n">
        <v>131</v>
      </c>
      <c r="F10" s="11" t="inlineStr">
        <is>
          <t>chapa dobrada / manta conforme descricao</t>
        </is>
      </c>
      <c r="G10" s="11" t="inlineStr">
        <is>
          <t>NBR 10844, NBR 9575</t>
        </is>
      </c>
      <c r="H10" s="11" t="inlineStr"/>
      <c r="I10" s="18" t="inlineStr">
        <is>
          <t>sim</t>
        </is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4" t="n">
        <v>127.1</v>
      </c>
      <c r="F11" s="11" t="inlineStr">
        <is>
          <t>OSB estrutural; chapa 1220 x 2440 mm; espessura 18 mm</t>
        </is>
      </c>
      <c r="G11" s="11" t="inlineStr">
        <is>
          <t>NBR 14810 / EN 300</t>
        </is>
      </c>
      <c r="H11" s="11" t="inlineStr"/>
      <c r="I11" s="18" t="inlineStr">
        <is>
          <t>sim</t>
        </is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4" t="n">
        <v>1191.6</v>
      </c>
      <c r="F12" s="11" t="inlineStr">
        <is>
          <t>cantoneira de canto e arremate</t>
        </is>
      </c>
      <c r="G12" s="11" t="inlineStr">
        <is>
          <t>NBR 15758</t>
        </is>
      </c>
      <c r="H12" s="11" t="inlineStr"/>
      <c r="I12" s="18" t="inlineStr">
        <is>
          <t>sim</t>
        </is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4" t="n">
        <v>178.3</v>
      </c>
      <c r="F13" s="11" t="inlineStr">
        <is>
          <t>La de vidro; chapa 1200 x 25000 mm; espessura 50 mm</t>
        </is>
      </c>
      <c r="G13" s="11" t="inlineStr">
        <is>
          <t>NBR 11722</t>
        </is>
      </c>
      <c r="H13" s="11" t="inlineStr"/>
      <c r="I13" s="18" t="inlineStr">
        <is>
          <t>sim</t>
        </is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4" t="n">
        <v>394.2</v>
      </c>
      <c r="F14" s="11" t="inlineStr">
        <is>
          <t>perfilaria de forro em aco galvanizado, malha 600 x 1.200, pendural regulavel; tabica perimetral de sombra</t>
        </is>
      </c>
      <c r="G14" s="11" t="inlineStr">
        <is>
          <t>NBR 15758-2</t>
        </is>
      </c>
      <c r="H14" s="11" t="inlineStr"/>
      <c r="I14" s="18" t="inlineStr">
        <is>
          <t>sim</t>
        </is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4" t="n">
        <v>958.8</v>
      </c>
      <c r="F15" s="11" t="inlineStr">
        <is>
          <t>massa para junta, aplicacao em 3 demaos</t>
        </is>
      </c>
      <c r="G15" s="11" t="inlineStr">
        <is>
          <t>NBR 15758</t>
        </is>
      </c>
      <c r="H15" s="11" t="inlineStr">
        <is>
          <t>rendimento da embalagem (metros por rolo, metros por balde): o modelo mede COMPRIMENTO de junta, nao embalagem</t>
        </is>
      </c>
      <c r="I15" s="18" t="inlineStr">
        <is>
          <t>sim</t>
        </is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4" t="n">
        <v>147</v>
      </c>
      <c r="F16" s="11" t="inlineStr">
        <is>
          <t>perfilaria de forro em aco galvanizado, malha 600 x 1.200, pendural regulavel; tabica perimetral de sombra</t>
        </is>
      </c>
      <c r="G16" s="11" t="inlineStr">
        <is>
          <t>NBR 15758-2</t>
        </is>
      </c>
      <c r="H16" s="11" t="inlineStr"/>
      <c r="I16" s="18" t="inlineStr">
        <is>
          <t>sim</t>
        </is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4" t="n">
        <v>80.90000000000001</v>
      </c>
      <c r="F17" s="11" t="inlineStr">
        <is>
          <t>La de vidro; chapa 1200 x 25000 mm; espessura 48 mm</t>
        </is>
      </c>
      <c r="G17" s="11" t="inlineStr">
        <is>
          <t>NBR 11722</t>
        </is>
      </c>
      <c r="H17" s="11" t="inlineStr"/>
      <c r="I17" s="18" t="inlineStr">
        <is>
          <t>sim</t>
        </is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4" t="n">
        <v>43.7</v>
      </c>
      <c r="F18" s="11" t="inlineStr">
        <is>
          <t>Chapa de gesso RU; chapa 1200 x 2400 mm; espessura 12.5 mm</t>
        </is>
      </c>
      <c r="G18" s="11" t="inlineStr">
        <is>
          <t>NBR 14715</t>
        </is>
      </c>
      <c r="H18" s="11" t="inlineStr"/>
      <c r="I18" s="18" t="inlineStr">
        <is>
          <t>sim</t>
        </is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4" t="n">
        <v>12666</v>
      </c>
      <c r="F19" s="11" t="inlineStr">
        <is>
          <t>tipos em uso: AB 4,8x19 ponta broca, AB 5,5x25 ponta broca</t>
        </is>
      </c>
      <c r="G19" s="11" t="inlineStr">
        <is>
          <t>NBR 14762 item 8.4</t>
        </is>
      </c>
      <c r="H19" s="11" t="inlineStr"/>
      <c r="I19" s="18" t="inlineStr">
        <is>
          <t>sim</t>
        </is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4" t="n">
        <v>219</v>
      </c>
      <c r="F20" s="11" t="inlineStr">
        <is>
          <t>perfilaria de forro em aco galvanizado, malha 600 x 1.200, pendural regulavel; tabica perimetral de sombra</t>
        </is>
      </c>
      <c r="G20" s="11" t="inlineStr">
        <is>
          <t>NBR 15758-2</t>
        </is>
      </c>
      <c r="H20" s="11" t="inlineStr"/>
      <c r="I20" s="18" t="inlineStr">
        <is>
          <t>sim</t>
        </is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4" t="n">
        <v>958.8</v>
      </c>
      <c r="F21" s="11" t="inlineStr">
        <is>
          <t>fita de papel microperfurada para junta</t>
        </is>
      </c>
      <c r="G21" s="11" t="inlineStr">
        <is>
          <t>NBR 15758</t>
        </is>
      </c>
      <c r="H21" s="11" t="inlineStr">
        <is>
          <t>rendimento da embalagem (metros por rolo, metros por balde): o modelo mede COMPRIMENTO de junta, nao embalagem</t>
        </is>
      </c>
      <c r="I21" s="18" t="inlineStr">
        <is>
          <t>sim</t>
        </is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4" t="n">
        <v>147</v>
      </c>
      <c r="F22" s="11" t="inlineStr">
        <is>
          <t>chapa dobrada / manta conforme descricao</t>
        </is>
      </c>
      <c r="G22" s="11" t="inlineStr">
        <is>
          <t>NBR 10844, NBR 9575</t>
        </is>
      </c>
      <c r="H22" s="11" t="inlineStr"/>
      <c r="I22" s="18" t="inlineStr">
        <is>
          <t>sim</t>
        </is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4" t="n">
        <v>73.5</v>
      </c>
      <c r="F23" s="11" t="inlineStr">
        <is>
          <t>chapa dobrada / manta conforme descricao</t>
        </is>
      </c>
      <c r="G23" s="11" t="inlineStr">
        <is>
          <t>NBR 10844, NBR 9575</t>
        </is>
      </c>
      <c r="H23" s="11" t="inlineStr"/>
      <c r="I23" s="18" t="inlineStr">
        <is>
          <t>sim</t>
        </is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4" t="n">
        <v>71.3</v>
      </c>
      <c r="F24" s="11" t="inlineStr"/>
      <c r="G24" s="11" t="inlineStr"/>
      <c r="H24" s="11" t="inlineStr">
        <is>
          <t>o modelo nao sabe descrever este item para um fornecedor</t>
        </is>
      </c>
      <c r="I24" s="18" t="inlineStr">
        <is>
          <t>com lacuna</t>
        </is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4" t="n">
        <v>129.6</v>
      </c>
      <c r="F25" s="11" t="inlineStr"/>
      <c r="G25" s="11" t="inlineStr"/>
      <c r="H25" s="11" t="inlineStr">
        <is>
          <t>o modelo nao sabe descrever este item para um fornecedor</t>
        </is>
      </c>
      <c r="I25" s="18" t="inlineStr">
        <is>
          <t>com lacuna</t>
        </is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4" t="n">
        <v>630</v>
      </c>
      <c r="F26" s="11" t="inlineStr">
        <is>
          <t>chapa dobrada / manta conforme descricao</t>
        </is>
      </c>
      <c r="G26" s="11" t="inlineStr">
        <is>
          <t>NBR 10844, NBR 9575</t>
        </is>
      </c>
      <c r="H26" s="11" t="inlineStr"/>
      <c r="I26" s="18" t="inlineStr">
        <is>
          <t>sim</t>
        </is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4" t="n">
        <v>13.4</v>
      </c>
      <c r="F27" s="11" t="inlineStr">
        <is>
          <t>chapa dobrada / manta conforme descricao</t>
        </is>
      </c>
      <c r="G27" s="11" t="inlineStr">
        <is>
          <t>NBR 10844, NBR 9575</t>
        </is>
      </c>
      <c r="H27" s="11" t="inlineStr"/>
      <c r="I27" s="18" t="inlineStr">
        <is>
          <t>sim</t>
        </is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4" t="n">
        <v>60</v>
      </c>
      <c r="F28" s="11" t="inlineStr"/>
      <c r="G28" s="11" t="inlineStr"/>
      <c r="H28" s="11" t="inlineStr">
        <is>
          <t>o modelo nao sabe descrever este item para um fornecedor</t>
        </is>
      </c>
      <c r="I28" s="18" t="inlineStr">
        <is>
          <t>com lacuna</t>
        </is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4" t="n">
        <v>298.1</v>
      </c>
      <c r="F29" s="11" t="inlineStr">
        <is>
          <t>caixilho de aluminio com desempenho ENSAIADO do sistema; vidro conforme quadro, 59.64 m2</t>
        </is>
      </c>
      <c r="G29" s="11" t="inlineStr">
        <is>
          <t>NBR 10821</t>
        </is>
      </c>
      <c r="H29" s="11" t="inlineStr">
        <is>
          <t>classificacao de estanqueidade a agua, ao ar e a carga de vento — exige relatorio de ensaio, nunca valor</t>
        </is>
      </c>
      <c r="I29" s="18" t="inlineStr">
        <is>
          <t>sim</t>
        </is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4" t="n">
        <v>59.64</v>
      </c>
      <c r="F30" s="11" t="inlineStr">
        <is>
          <t>caixilho de aluminio com desempenho ENSAIADO do sistema; vidro conforme quadro, 59.64 m2</t>
        </is>
      </c>
      <c r="G30" s="11" t="inlineStr">
        <is>
          <t>NBR 10821</t>
        </is>
      </c>
      <c r="H30" s="11" t="inlineStr">
        <is>
          <t>classificacao de estanqueidade a agua, ao ar e a carga de vento — exige relatorio de ensaio, nunca valor</t>
        </is>
      </c>
      <c r="I30" s="18" t="inlineStr">
        <is>
          <t>sim</t>
        </is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4" t="n">
        <v>24.48</v>
      </c>
      <c r="F31" s="11" t="inlineStr">
        <is>
          <t>caixilho de aluminio com desempenho ENSAIADO do sistema; vidro conforme quadro, 59.64 m2</t>
        </is>
      </c>
      <c r="G31" s="11" t="inlineStr">
        <is>
          <t>NBR 10821</t>
        </is>
      </c>
      <c r="H31" s="11" t="inlineStr">
        <is>
          <t>classificacao de estanqueidade a agua, ao ar e a carga de vento — exige relatorio de ensaio, nunca valor</t>
        </is>
      </c>
      <c r="I31" s="18" t="inlineStr">
        <is>
          <t>sim</t>
        </is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4" t="n">
        <v>45.4</v>
      </c>
      <c r="F32" s="11" t="inlineStr">
        <is>
          <t>ferragem de esquadria conforme quadro de vaos; acabamento e sentido de abertura por vao</t>
        </is>
      </c>
      <c r="G32" s="11" t="inlineStr">
        <is>
          <t>NBR 10821</t>
        </is>
      </c>
      <c r="H32" s="11" t="inlineStr">
        <is>
          <t>linha e fabricante da ferragem: a norma de desempenho e do SISTEMA esquadria + ferragem, e cotar ferragem solta nao garante o ensaio</t>
        </is>
      </c>
      <c r="I32" s="18" t="inlineStr">
        <is>
          <t>sim</t>
        </is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4" t="n">
        <v>14</v>
      </c>
      <c r="F33" s="11" t="inlineStr">
        <is>
          <t>ferragem de esquadria conforme quadro de vaos; acabamento e sentido de abertura por vao</t>
        </is>
      </c>
      <c r="G33" s="11" t="inlineStr">
        <is>
          <t>NBR 10821</t>
        </is>
      </c>
      <c r="H33" s="11" t="inlineStr">
        <is>
          <t>linha e fabricante da ferragem: a norma de desempenho e do SISTEMA esquadria + ferragem, e cotar ferragem solta nao garante o ensaio</t>
        </is>
      </c>
      <c r="I33" s="18" t="inlineStr">
        <is>
          <t>sim</t>
        </is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4" t="n">
        <v>56</v>
      </c>
      <c r="F34" s="11" t="inlineStr">
        <is>
          <t>ferragem de esquadria conforme quadro de vaos; acabamento e sentido de abertura por vao</t>
        </is>
      </c>
      <c r="G34" s="11" t="inlineStr">
        <is>
          <t>NBR 10821</t>
        </is>
      </c>
      <c r="H34" s="11" t="inlineStr">
        <is>
          <t>linha e fabricante da ferragem: a norma de desempenho e do SISTEMA esquadria + ferragem, e cotar ferragem solta nao garante o ensaio</t>
        </is>
      </c>
      <c r="I34" s="18" t="inlineStr">
        <is>
          <t>sim</t>
        </is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4" t="n">
        <v>116</v>
      </c>
      <c r="F35" s="11" t="inlineStr">
        <is>
          <t>ferragem de esquadria conforme quadro de vaos; acabamento e sentido de abertura por vao</t>
        </is>
      </c>
      <c r="G35" s="11" t="inlineStr">
        <is>
          <t>NBR 10821</t>
        </is>
      </c>
      <c r="H35" s="11" t="inlineStr">
        <is>
          <t>linha e fabricante da ferragem: a norma de desempenho e do SISTEMA esquadria + ferragem, e cotar ferragem solta nao garante o ensaio</t>
        </is>
      </c>
      <c r="I35" s="18" t="inlineStr">
        <is>
          <t>sim</t>
        </is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4" t="n">
        <v>14</v>
      </c>
      <c r="F36" s="11" t="inlineStr">
        <is>
          <t>ferragem de esquadria conforme quadro de vaos; acabamento e sentido de abertura por vao</t>
        </is>
      </c>
      <c r="G36" s="11" t="inlineStr">
        <is>
          <t>NBR 10821</t>
        </is>
      </c>
      <c r="H36" s="11" t="inlineStr">
        <is>
          <t>linha e fabricante da ferragem: a norma de desempenho e do SISTEMA esquadria + ferragem, e cotar ferragem solta nao garante o ensaio</t>
        </is>
      </c>
      <c r="I36" s="18" t="inlineStr">
        <is>
          <t>sim</t>
        </is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4" t="n">
        <v>42</v>
      </c>
      <c r="F37" s="11" t="inlineStr">
        <is>
          <t>ferragem de esquadria conforme quadro de vaos; acabamento e sentido de abertura por vao</t>
        </is>
      </c>
      <c r="G37" s="11" t="inlineStr">
        <is>
          <t>NBR 10821</t>
        </is>
      </c>
      <c r="H37" s="11" t="inlineStr">
        <is>
          <t>linha e fabricante da ferragem: a norma de desempenho e do SISTEMA esquadria + ferragem, e cotar ferragem solta nao garante o ensaio</t>
        </is>
      </c>
      <c r="I37" s="18" t="inlineStr">
        <is>
          <t>sim</t>
        </is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4" t="n">
        <v>37.74</v>
      </c>
      <c r="F38" s="11" t="inlineStr">
        <is>
          <t>fck 30 MPa, aco CA-50, tela Q196; (H) ate a sondagem: a especificacao muda com o laudo</t>
        </is>
      </c>
      <c r="G38" s="11" t="inlineStr">
        <is>
          <t>NBR 12655, NBR 6118, NBR 6122</t>
        </is>
      </c>
      <c r="H38" s="11" t="inlineStr"/>
      <c r="I38" s="18" t="inlineStr">
        <is>
          <t>sim</t>
        </is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4" t="n">
        <v>1530.2</v>
      </c>
      <c r="F39" s="11" t="inlineStr">
        <is>
          <t>fck 30 MPa, aco CA-50, tela Q196; (H) ate a sondagem: a especificacao muda com o laudo</t>
        </is>
      </c>
      <c r="G39" s="11" t="inlineStr">
        <is>
          <t>NBR 12655, NBR 6118, NBR 6122</t>
        </is>
      </c>
      <c r="H39" s="11" t="inlineStr"/>
      <c r="I39" s="18" t="inlineStr">
        <is>
          <t>sim</t>
        </is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4" t="n">
        <v>109.1</v>
      </c>
      <c r="F40" s="11" t="inlineStr">
        <is>
          <t>fck 30 MPa, aco CA-50, tela Q196; (H) ate a sondagem: a especificacao muda com o laudo</t>
        </is>
      </c>
      <c r="G40" s="11" t="inlineStr">
        <is>
          <t>NBR 12655, NBR 6118, NBR 6122</t>
        </is>
      </c>
      <c r="H40" s="11" t="inlineStr"/>
      <c r="I40" s="18" t="inlineStr">
        <is>
          <t>sim</t>
        </is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4" t="n">
        <v>410</v>
      </c>
      <c r="F41" s="11" t="inlineStr">
        <is>
          <t>fck 30 MPa, aco CA-50, tela Q196; (H) ate a sondagem: a especificacao muda com o laudo</t>
        </is>
      </c>
      <c r="G41" s="11" t="inlineStr">
        <is>
          <t>NBR 12655, NBR 6118, NBR 6122</t>
        </is>
      </c>
      <c r="H41" s="11" t="inlineStr"/>
      <c r="I41" s="18" t="inlineStr">
        <is>
          <t>sim</t>
        </is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4" t="n">
        <v>163.6</v>
      </c>
      <c r="F42" s="11" t="inlineStr">
        <is>
          <t>fck 30 MPa, aco CA-50, tela Q196; (H) ate a sondagem: a especificacao muda com o laudo</t>
        </is>
      </c>
      <c r="G42" s="11" t="inlineStr">
        <is>
          <t>NBR 12655, NBR 6118, NBR 6122</t>
        </is>
      </c>
      <c r="H42" s="11" t="inlineStr"/>
      <c r="I42" s="18" t="inlineStr">
        <is>
          <t>sim</t>
        </is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4" t="n">
        <v>130.9</v>
      </c>
      <c r="F43" s="11" t="inlineStr">
        <is>
          <t>fck 30 MPa, aco CA-50, tela Q196; (H) ate a sondagem: a especificacao muda com o laudo</t>
        </is>
      </c>
      <c r="G43" s="11" t="inlineStr">
        <is>
          <t>NBR 12655, NBR 6118, NBR 6122</t>
        </is>
      </c>
      <c r="H43" s="11" t="inlineStr"/>
      <c r="I43" s="18" t="inlineStr">
        <is>
          <t>sim</t>
        </is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4" t="n">
        <v>21.8</v>
      </c>
      <c r="F44" s="11" t="inlineStr">
        <is>
          <t>fck 30 MPa, aco CA-50, tela Q196; (H) ate a sondagem: a especificacao muda com o laudo</t>
        </is>
      </c>
      <c r="G44" s="11" t="inlineStr">
        <is>
          <t>NBR 12655, NBR 6118, NBR 6122</t>
        </is>
      </c>
      <c r="H44" s="11" t="inlineStr"/>
      <c r="I44" s="18" t="inlineStr">
        <is>
          <t>sim</t>
        </is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4" t="n">
        <v>109.1</v>
      </c>
      <c r="F45" s="11" t="inlineStr">
        <is>
          <t>fck 30 MPa, aco CA-50, tela Q196; (H) ate a sondagem: a especificacao muda com o laudo</t>
        </is>
      </c>
      <c r="G45" s="11" t="inlineStr">
        <is>
          <t>NBR 12655, NBR 6118, NBR 6122</t>
        </is>
      </c>
      <c r="H45" s="11" t="inlineStr"/>
      <c r="I45" s="18" t="inlineStr">
        <is>
          <t>sim</t>
        </is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4" t="n">
        <v>25.4</v>
      </c>
      <c r="F46" s="11" t="inlineStr">
        <is>
          <t>fck 30 MPa, aco CA-50, tela Q196; (H) ate a sondagem: a especificacao muda com o laudo</t>
        </is>
      </c>
      <c r="G46" s="11" t="inlineStr">
        <is>
          <t>NBR 12655, NBR 6118, NBR 6122</t>
        </is>
      </c>
      <c r="H46" s="11" t="inlineStr"/>
      <c r="I46" s="18" t="inlineStr">
        <is>
          <t>sim</t>
        </is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4" t="n">
        <v>4</v>
      </c>
      <c r="F47" s="11" t="inlineStr">
        <is>
          <t>fck 30 MPa, aco CA-50, tela Q196; (H) ate a sondagem: a especificacao muda com o laudo</t>
        </is>
      </c>
      <c r="G47" s="11" t="inlineStr">
        <is>
          <t>NBR 12655, NBR 6118, NBR 6122</t>
        </is>
      </c>
      <c r="H47" s="11" t="inlineStr"/>
      <c r="I47" s="18" t="inlineStr">
        <is>
          <t>sim</t>
        </is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4" t="n">
        <v>205</v>
      </c>
      <c r="F48" s="11" t="inlineStr">
        <is>
          <t>fck 30 MPa, aco CA-50, tela Q196; (H) ate a sondagem: a especificacao muda com o laudo</t>
        </is>
      </c>
      <c r="G48" s="11" t="inlineStr">
        <is>
          <t>NBR 12655, NBR 6118, NBR 6122</t>
        </is>
      </c>
      <c r="H48" s="11" t="inlineStr"/>
      <c r="I48" s="18" t="inlineStr">
        <is>
          <t>sim</t>
        </is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terra), por circuito e secao</t>
        </is>
      </c>
      <c r="D49" s="10" t="inlineStr">
        <is>
          <t>m</t>
        </is>
      </c>
      <c r="E49" s="14" t="n">
        <v>2784</v>
      </c>
      <c r="F49" s="11" t="inlineStr">
        <is>
          <t>tubo, conexao ou condutor conforme descricao</t>
        </is>
      </c>
      <c r="G49" s="11" t="inlineStr">
        <is>
          <t>NBR 5410, NBR 5626, NBR 8160</t>
        </is>
      </c>
      <c r="H49" s="11" t="inlineStr"/>
      <c r="I49" s="18" t="inlineStr">
        <is>
          <t>sim</t>
        </is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 (arvore dos circuitos, parede a parede)</t>
        </is>
      </c>
      <c r="D50" s="10" t="inlineStr">
        <is>
          <t>m</t>
        </is>
      </c>
      <c r="E50" s="14" t="n">
        <v>1545.6</v>
      </c>
      <c r="F50" s="11" t="inlineStr">
        <is>
          <t>tubo, conexao ou condutor conforme descricao</t>
        </is>
      </c>
      <c r="G50" s="11" t="inlineStr">
        <is>
          <t>NBR 5410, NBR 5626, NBR 8160</t>
        </is>
      </c>
      <c r="H50" s="11" t="inlineStr"/>
      <c r="I50" s="18" t="inlineStr">
        <is>
          <t>sim</t>
        </is>
      </c>
    </row>
    <row r="51">
      <c r="A51" s="9" t="inlineStr">
        <is>
          <t>FIX-06</t>
        </is>
      </c>
      <c r="B51" s="10" t="inlineStr">
        <is>
          <t>instalacao</t>
        </is>
      </c>
      <c r="C51" s="11" t="inlineStr">
        <is>
          <t>Bucha passa-fio 25 mm (montante atravessado)</t>
        </is>
      </c>
      <c r="D51" s="10" t="inlineStr">
        <is>
          <t>un</t>
        </is>
      </c>
      <c r="E51" s="14" t="n">
        <v>2931</v>
      </c>
      <c r="F51" s="11" t="inlineStr"/>
      <c r="G51" s="11" t="inlineStr"/>
      <c r="H51" s="11" t="inlineStr">
        <is>
          <t>o modelo nao sabe descrever este item para um fornecedor</t>
        </is>
      </c>
      <c r="I51" s="18" t="inlineStr">
        <is>
          <t>com lacuna</t>
        </is>
      </c>
    </row>
    <row r="52">
      <c r="A52" s="9" t="inlineStr">
        <is>
          <t>MEP-FRIGO</t>
        </is>
      </c>
      <c r="B52" s="10" t="inlineStr">
        <is>
          <t>instalacao</t>
        </is>
      </c>
      <c r="C52" s="11" t="inlineStr">
        <is>
          <t>Linha frigorigena</t>
        </is>
      </c>
      <c r="D52" s="10" t="inlineStr">
        <is>
          <t>m</t>
        </is>
      </c>
      <c r="E52" s="14" t="n">
        <v>56</v>
      </c>
      <c r="F52" s="11" t="inlineStr">
        <is>
          <t>tubo, conexao ou condutor conforme descricao</t>
        </is>
      </c>
      <c r="G52" s="11" t="inlineStr">
        <is>
          <t>NBR 5410, NBR 5626, NBR 8160</t>
        </is>
      </c>
      <c r="H52" s="11" t="inlineStr"/>
      <c r="I52" s="18" t="inlineStr">
        <is>
          <t>sim</t>
        </is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4" t="n">
        <v>209</v>
      </c>
      <c r="F53" s="11" t="inlineStr">
        <is>
          <t>tubo, conexao ou condutor conforme descricao</t>
        </is>
      </c>
      <c r="G53" s="11" t="inlineStr">
        <is>
          <t>NBR 5410, NBR 5626, NBR 8160</t>
        </is>
      </c>
      <c r="H53" s="11" t="inlineStr"/>
      <c r="I53" s="18" t="inlineStr">
        <is>
          <t>sim</t>
        </is>
      </c>
    </row>
    <row r="54">
      <c r="A54" s="9" t="inlineStr">
        <is>
          <t>MEP-ESGO50</t>
        </is>
      </c>
      <c r="B54" s="10" t="inlineStr">
        <is>
          <t>instalacao</t>
        </is>
      </c>
      <c r="C54" s="11" t="inlineStr">
        <is>
          <t>Tubo esgoto DN50</t>
        </is>
      </c>
      <c r="D54" s="10" t="inlineStr">
        <is>
          <t>m</t>
        </is>
      </c>
      <c r="E54" s="14" t="n">
        <v>81</v>
      </c>
      <c r="F54" s="11" t="inlineStr">
        <is>
          <t>tubo, conexao ou condutor conforme descricao; DN50</t>
        </is>
      </c>
      <c r="G54" s="11" t="inlineStr">
        <is>
          <t>NBR 5410, NBR 5626, NBR 8160</t>
        </is>
      </c>
      <c r="H54" s="11" t="inlineStr"/>
      <c r="I54" s="18" t="inlineStr">
        <is>
          <t>sim</t>
        </is>
      </c>
    </row>
    <row r="55">
      <c r="A55" s="9" t="inlineStr">
        <is>
          <t>FIX-13</t>
        </is>
      </c>
      <c r="B55" s="10" t="inlineStr">
        <is>
          <t>instalacao</t>
        </is>
      </c>
      <c r="C55" s="11" t="inlineStr">
        <is>
          <t>Clip de eletroduto no montante (a cada 1.200 mm)</t>
        </is>
      </c>
      <c r="D55" s="10" t="inlineStr">
        <is>
          <t>un</t>
        </is>
      </c>
      <c r="E55" s="14" t="n">
        <v>1923</v>
      </c>
      <c r="F55" s="11" t="inlineStr"/>
      <c r="G55" s="11" t="inlineStr"/>
      <c r="H55" s="11" t="inlineStr">
        <is>
          <t>o modelo nao sabe descrever este item para um fornecedor</t>
        </is>
      </c>
      <c r="I55" s="18" t="inlineStr">
        <is>
          <t>com lacuna</t>
        </is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4" t="n">
        <v>112</v>
      </c>
      <c r="F56" s="11" t="inlineStr">
        <is>
          <t>tubo, conexao ou condutor conforme descricao</t>
        </is>
      </c>
      <c r="G56" s="11" t="inlineStr">
        <is>
          <t>NBR 5410, NBR 5626, NBR 8160</t>
        </is>
      </c>
      <c r="H56" s="11" t="inlineStr"/>
      <c r="I56" s="18" t="inlineStr">
        <is>
          <t>sim</t>
        </is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4" t="n">
        <v>37</v>
      </c>
      <c r="F57" s="11" t="inlineStr">
        <is>
          <t>tubo, conexao ou condutor conforme descricao</t>
        </is>
      </c>
      <c r="G57" s="11" t="inlineStr">
        <is>
          <t>NBR 5410, NBR 5626, NBR 8160</t>
        </is>
      </c>
      <c r="H57" s="11" t="inlineStr"/>
      <c r="I57" s="18" t="inlineStr">
        <is>
          <t>sim</t>
        </is>
      </c>
    </row>
    <row r="58">
      <c r="A58" s="9" t="inlineStr">
        <is>
          <t>FIX-10</t>
        </is>
      </c>
      <c r="B58" s="10" t="inlineStr">
        <is>
          <t>instalacao</t>
        </is>
      </c>
      <c r="C58" s="11" t="inlineStr">
        <is>
          <t>Caixa de passagem</t>
        </is>
      </c>
      <c r="D58" s="10" t="inlineStr">
        <is>
          <t>un</t>
        </is>
      </c>
      <c r="E58" s="14" t="n">
        <v>147</v>
      </c>
      <c r="F58" s="11" t="inlineStr"/>
      <c r="G58" s="11" t="inlineStr"/>
      <c r="H58" s="11" t="inlineStr">
        <is>
          <t>o modelo nao sabe descrever este item para um fornecedor</t>
        </is>
      </c>
      <c r="I58" s="18" t="inlineStr">
        <is>
          <t>com lacuna</t>
        </is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4" t="n">
        <v>50.2</v>
      </c>
      <c r="F59" s="11" t="inlineStr">
        <is>
          <t>tubo, conexao ou condutor conforme descricao; DN75</t>
        </is>
      </c>
      <c r="G59" s="11" t="inlineStr">
        <is>
          <t>NBR 5410, NBR 5626, NBR 8160</t>
        </is>
      </c>
      <c r="H59" s="11" t="inlineStr"/>
      <c r="I59" s="18" t="inlineStr">
        <is>
          <t>sim</t>
        </is>
      </c>
    </row>
    <row r="60">
      <c r="A60" s="9" t="inlineStr">
        <is>
          <t>MEP-PEX20</t>
        </is>
      </c>
      <c r="B60" s="10" t="inlineStr">
        <is>
          <t>instalacao</t>
        </is>
      </c>
      <c r="C60" s="11" t="inlineStr">
        <is>
          <t>Tubo PEX DN20 agua fria, pela parede a 400 mm</t>
        </is>
      </c>
      <c r="D60" s="10" t="inlineStr">
        <is>
          <t>m</t>
        </is>
      </c>
      <c r="E60" s="14" t="n">
        <v>124.2</v>
      </c>
      <c r="F60" s="11" t="inlineStr">
        <is>
          <t>tubo, conexao ou condutor conforme descricao; DN20</t>
        </is>
      </c>
      <c r="G60" s="11" t="inlineStr">
        <is>
          <t>NBR 5410, NBR 5626, NBR 8160</t>
        </is>
      </c>
      <c r="H60" s="11" t="inlineStr"/>
      <c r="I60" s="18" t="inlineStr">
        <is>
          <t>sim</t>
        </is>
      </c>
    </row>
    <row r="61">
      <c r="A61" s="9" t="inlineStr">
        <is>
          <t>MEP-ESGO40</t>
        </is>
      </c>
      <c r="B61" s="10" t="inlineStr">
        <is>
          <t>instalacao</t>
        </is>
      </c>
      <c r="C61" s="11" t="inlineStr">
        <is>
          <t>Tubo esgoto DN40</t>
        </is>
      </c>
      <c r="D61" s="10" t="inlineStr">
        <is>
          <t>m</t>
        </is>
      </c>
      <c r="E61" s="14" t="n">
        <v>46.7</v>
      </c>
      <c r="F61" s="11" t="inlineStr">
        <is>
          <t>tubo, conexao ou condutor conforme descricao; DN40</t>
        </is>
      </c>
      <c r="G61" s="11" t="inlineStr">
        <is>
          <t>NBR 5410, NBR 5626, NBR 8160</t>
        </is>
      </c>
      <c r="H61" s="11" t="inlineStr"/>
      <c r="I61" s="18" t="inlineStr">
        <is>
          <t>sim</t>
        </is>
      </c>
    </row>
    <row r="62">
      <c r="A62" s="9" t="inlineStr">
        <is>
          <t>MEP-ESGO100</t>
        </is>
      </c>
      <c r="B62" s="10" t="inlineStr">
        <is>
          <t>instalacao</t>
        </is>
      </c>
      <c r="C62" s="11" t="inlineStr">
        <is>
          <t>Tubo esgoto DN100</t>
        </is>
      </c>
      <c r="D62" s="10" t="inlineStr">
        <is>
          <t>m</t>
        </is>
      </c>
      <c r="E62" s="14" t="n">
        <v>36</v>
      </c>
      <c r="F62" s="11" t="inlineStr">
        <is>
          <t>tubo, conexao ou condutor conforme descricao; DN100</t>
        </is>
      </c>
      <c r="G62" s="11" t="inlineStr">
        <is>
          <t>NBR 5410, NBR 5626, NBR 8160</t>
        </is>
      </c>
      <c r="H62" s="11" t="inlineStr"/>
      <c r="I62" s="18" t="inlineStr">
        <is>
          <t>sim</t>
        </is>
      </c>
    </row>
    <row r="63">
      <c r="A63" s="9" t="inlineStr">
        <is>
          <t>MEP-AGUA20</t>
        </is>
      </c>
      <c r="B63" s="10" t="inlineStr">
        <is>
          <t>instalacao</t>
        </is>
      </c>
      <c r="C63" s="11" t="inlineStr">
        <is>
          <t>Tubo agua quente DN20</t>
        </is>
      </c>
      <c r="D63" s="10" t="inlineStr">
        <is>
          <t>m</t>
        </is>
      </c>
      <c r="E63" s="14" t="n">
        <v>42</v>
      </c>
      <c r="F63" s="11" t="inlineStr">
        <is>
          <t>tubo, conexao ou condutor conforme descricao; DN20</t>
        </is>
      </c>
      <c r="G63" s="11" t="inlineStr">
        <is>
          <t>NBR 5410, NBR 5626, NBR 8160</t>
        </is>
      </c>
      <c r="H63" s="11" t="inlineStr"/>
      <c r="I63" s="18" t="inlineStr">
        <is>
          <t>sim</t>
        </is>
      </c>
    </row>
    <row r="64">
      <c r="A64" s="9" t="inlineStr">
        <is>
          <t>FIX-09</t>
        </is>
      </c>
      <c r="B64" s="10" t="inlineStr">
        <is>
          <t>instalacao</t>
        </is>
      </c>
      <c r="C64" s="11" t="inlineStr">
        <is>
          <t>Caixa 4x4 octogonal</t>
        </is>
      </c>
      <c r="D64" s="10" t="inlineStr">
        <is>
          <t>un</t>
        </is>
      </c>
      <c r="E64" s="14" t="n">
        <v>111</v>
      </c>
      <c r="F64" s="11" t="inlineStr"/>
      <c r="G64" s="11" t="inlineStr"/>
      <c r="H64" s="11" t="inlineStr">
        <is>
          <t>o modelo nao sabe descrever este item para um fornecedor</t>
        </is>
      </c>
      <c r="I64" s="18" t="inlineStr">
        <is>
          <t>com lacuna</t>
        </is>
      </c>
    </row>
    <row r="65">
      <c r="A65" s="9" t="inlineStr">
        <is>
          <t>FIX-05</t>
        </is>
      </c>
      <c r="B65" s="10" t="inlineStr">
        <is>
          <t>instalacao</t>
        </is>
      </c>
      <c r="C65" s="11" t="inlineStr">
        <is>
          <t>Barra de fixacao entre montantes + joelho de transicao (peca)</t>
        </is>
      </c>
      <c r="D65" s="10" t="inlineStr">
        <is>
          <t>un</t>
        </is>
      </c>
      <c r="E65" s="14" t="n">
        <v>21</v>
      </c>
      <c r="F65" s="11" t="inlineStr"/>
      <c r="G65" s="11" t="inlineStr"/>
      <c r="H65" s="11" t="inlineStr">
        <is>
          <t>o modelo nao sabe descrever este item para um fornecedor</t>
        </is>
      </c>
      <c r="I65" s="18" t="inlineStr">
        <is>
          <t>com lacuna</t>
        </is>
      </c>
    </row>
    <row r="66">
      <c r="A66" s="9" t="inlineStr">
        <is>
          <t>FIX-07</t>
        </is>
      </c>
      <c r="B66" s="10" t="inlineStr">
        <is>
          <t>instalacao</t>
        </is>
      </c>
      <c r="C66" s="11" t="inlineStr">
        <is>
          <t>Caixa 4x2</t>
        </is>
      </c>
      <c r="D66" s="10" t="inlineStr">
        <is>
          <t>un</t>
        </is>
      </c>
      <c r="E66" s="14" t="n">
        <v>118</v>
      </c>
      <c r="F66" s="11" t="inlineStr"/>
      <c r="G66" s="11" t="inlineStr"/>
      <c r="H66" s="11" t="inlineStr">
        <is>
          <t>o modelo nao sabe descrever este item para um fornecedor</t>
        </is>
      </c>
      <c r="I66" s="18" t="inlineStr">
        <is>
          <t>com lacuna</t>
        </is>
      </c>
    </row>
    <row r="67">
      <c r="A67" s="9" t="inlineStr">
        <is>
          <t>FIX-15</t>
        </is>
      </c>
      <c r="B67" s="10" t="inlineStr">
        <is>
          <t>instalacao</t>
        </is>
      </c>
      <c r="C67" s="11" t="inlineStr">
        <is>
          <t>Luva de protecao no furo de 32 mm (montante atravessado)</t>
        </is>
      </c>
      <c r="D67" s="10" t="inlineStr">
        <is>
          <t>un</t>
        </is>
      </c>
      <c r="E67" s="14" t="n">
        <v>304</v>
      </c>
      <c r="F67" s="11" t="inlineStr"/>
      <c r="G67" s="11" t="inlineStr"/>
      <c r="H67" s="11" t="inlineStr">
        <is>
          <t>o modelo nao sabe descrever este item para um fornecedor</t>
        </is>
      </c>
      <c r="I67" s="18" t="inlineStr">
        <is>
          <t>com lacuna</t>
        </is>
      </c>
    </row>
    <row r="68">
      <c r="A68" s="9" t="inlineStr">
        <is>
          <t>FIX-01</t>
        </is>
      </c>
      <c r="B68" s="10" t="inlineStr">
        <is>
          <t>instalacao</t>
        </is>
      </c>
      <c r="C68" s="11" t="inlineStr">
        <is>
          <t>Abracadeira de eletroduto no forro/entrepiso (a cada 1.000 mm)</t>
        </is>
      </c>
      <c r="D68" s="10" t="inlineStr">
        <is>
          <t>un</t>
        </is>
      </c>
      <c r="E68" s="14" t="n">
        <v>162</v>
      </c>
      <c r="F68" s="11" t="inlineStr"/>
      <c r="G68" s="11" t="inlineStr"/>
      <c r="H68" s="11" t="inlineStr">
        <is>
          <t>o modelo nao sabe descrever este item para um fornecedor</t>
        </is>
      </c>
      <c r="I68" s="18" t="inlineStr">
        <is>
          <t>com lacuna</t>
        </is>
      </c>
    </row>
    <row r="69">
      <c r="A69" s="9" t="inlineStr">
        <is>
          <t>MEP-DRENO</t>
        </is>
      </c>
      <c r="B69" s="10" t="inlineStr">
        <is>
          <t>instalacao</t>
        </is>
      </c>
      <c r="C69" s="11" t="inlineStr">
        <is>
          <t>Dreno de condensado</t>
        </is>
      </c>
      <c r="D69" s="10" t="inlineStr">
        <is>
          <t>m</t>
        </is>
      </c>
      <c r="E69" s="14" t="n">
        <v>44.8</v>
      </c>
      <c r="F69" s="11" t="inlineStr">
        <is>
          <t>tubo, conexao ou condutor conforme descricao</t>
        </is>
      </c>
      <c r="G69" s="11" t="inlineStr">
        <is>
          <t>NBR 5410, NBR 5626, NBR 8160</t>
        </is>
      </c>
      <c r="H69" s="11" t="inlineStr"/>
      <c r="I69" s="18" t="inlineStr">
        <is>
          <t>sim</t>
        </is>
      </c>
    </row>
    <row r="70">
      <c r="A70" s="9" t="inlineStr">
        <is>
          <t>FIX-08</t>
        </is>
      </c>
      <c r="B70" s="10" t="inlineStr">
        <is>
          <t>instalacao</t>
        </is>
      </c>
      <c r="C70" s="11" t="inlineStr">
        <is>
          <t>Caixa 4x4</t>
        </is>
      </c>
      <c r="D70" s="10" t="inlineStr">
        <is>
          <t>un</t>
        </is>
      </c>
      <c r="E70" s="14" t="n">
        <v>39</v>
      </c>
      <c r="F70" s="11" t="inlineStr"/>
      <c r="G70" s="11" t="inlineStr"/>
      <c r="H70" s="11" t="inlineStr">
        <is>
          <t>o modelo nao sabe descrever este item para um fornecedor</t>
        </is>
      </c>
      <c r="I70" s="18" t="inlineStr">
        <is>
          <t>com lacuna</t>
        </is>
      </c>
    </row>
    <row r="71">
      <c r="A71" s="9" t="inlineStr">
        <is>
          <t>FIX-02</t>
        </is>
      </c>
      <c r="B71" s="10" t="inlineStr">
        <is>
          <t>instalacao</t>
        </is>
      </c>
      <c r="C71" s="11" t="inlineStr">
        <is>
          <t>Abracadeira de linha frigorigena (a cada 1,0 m)</t>
        </is>
      </c>
      <c r="D71" s="10" t="inlineStr">
        <is>
          <t>un</t>
        </is>
      </c>
      <c r="E71" s="14" t="n">
        <v>71</v>
      </c>
      <c r="F71" s="11" t="inlineStr"/>
      <c r="G71" s="11" t="inlineStr"/>
      <c r="H71" s="11" t="inlineStr">
        <is>
          <t>o modelo nao sabe descrever este item para um fornecedor</t>
        </is>
      </c>
      <c r="I71" s="18" t="inlineStr">
        <is>
          <t>com lacuna</t>
        </is>
      </c>
    </row>
    <row r="72">
      <c r="A72" s="9" t="inlineStr">
        <is>
          <t>FIX-12</t>
        </is>
      </c>
      <c r="B72" s="10" t="inlineStr">
        <is>
          <t>instalacao</t>
        </is>
      </c>
      <c r="C72" s="11" t="inlineStr">
        <is>
          <t>Clip de PEX no montante (a cada 600 mm)</t>
        </is>
      </c>
      <c r="D72" s="10" t="inlineStr">
        <is>
          <t>un</t>
        </is>
      </c>
      <c r="E72" s="14" t="n">
        <v>273</v>
      </c>
      <c r="F72" s="11" t="inlineStr"/>
      <c r="G72" s="11" t="inlineStr"/>
      <c r="H72" s="11" t="inlineStr">
        <is>
          <t>o modelo nao sabe descrever este item para um fornecedor</t>
        </is>
      </c>
      <c r="I72" s="18" t="inlineStr">
        <is>
          <t>com lacuna</t>
        </is>
      </c>
    </row>
    <row r="73">
      <c r="A73" s="9" t="inlineStr">
        <is>
          <t>FIX-14</t>
        </is>
      </c>
      <c r="B73" s="10" t="inlineStr">
        <is>
          <t>instalacao</t>
        </is>
      </c>
      <c r="C73" s="11" t="inlineStr">
        <is>
          <t>Eletroduto PEAD enterrado (m)</t>
        </is>
      </c>
      <c r="D73" s="10" t="inlineStr">
        <is>
          <t>m</t>
        </is>
      </c>
      <c r="E73" s="14" t="n">
        <v>15.3</v>
      </c>
      <c r="F73" s="11" t="inlineStr"/>
      <c r="G73" s="11" t="inlineStr"/>
      <c r="H73" s="11" t="inlineStr">
        <is>
          <t>o modelo nao sabe descrever este item para um fornecedor</t>
        </is>
      </c>
      <c r="I73" s="18" t="inlineStr">
        <is>
          <t>com lacuna</t>
        </is>
      </c>
    </row>
    <row r="74">
      <c r="A74" s="9" t="inlineStr">
        <is>
          <t>FIX-03</t>
        </is>
      </c>
      <c r="B74" s="10" t="inlineStr">
        <is>
          <t>instalacao</t>
        </is>
      </c>
      <c r="C74" s="11" t="inlineStr">
        <is>
          <t>Abracadeira isofonica de esgoto no entrepiso (a cada 1,0 m)</t>
        </is>
      </c>
      <c r="D74" s="10" t="inlineStr">
        <is>
          <t>un</t>
        </is>
      </c>
      <c r="E74" s="14" t="n">
        <v>25</v>
      </c>
      <c r="F74" s="11" t="inlineStr"/>
      <c r="G74" s="11" t="inlineStr"/>
      <c r="H74" s="11" t="inlineStr">
        <is>
          <t>o modelo nao sabe descrever este item para um fornecedor</t>
        </is>
      </c>
      <c r="I74" s="18" t="inlineStr">
        <is>
          <t>com lacuna</t>
        </is>
      </c>
    </row>
    <row r="75">
      <c r="A75" s="9" t="inlineStr">
        <is>
          <t>FIX-11</t>
        </is>
      </c>
      <c r="B75" s="10" t="inlineStr">
        <is>
          <t>instalacao</t>
        </is>
      </c>
      <c r="C75" s="11" t="inlineStr">
        <is>
          <t>Clip de PEX na subida (a cada 600 mm)</t>
        </is>
      </c>
      <c r="D75" s="10" t="inlineStr">
        <is>
          <t>un</t>
        </is>
      </c>
      <c r="E75" s="14" t="n">
        <v>30</v>
      </c>
      <c r="F75" s="11" t="inlineStr"/>
      <c r="G75" s="11" t="inlineStr"/>
      <c r="H75" s="11" t="inlineStr">
        <is>
          <t>o modelo nao sabe descrever este item para um fornecedor</t>
        </is>
      </c>
      <c r="I75" s="18" t="inlineStr">
        <is>
          <t>com lacuna</t>
        </is>
      </c>
    </row>
    <row r="76">
      <c r="A76" s="9" t="inlineStr">
        <is>
          <t>FIX-04</t>
        </is>
      </c>
      <c r="B76" s="10" t="inlineStr">
        <is>
          <t>instalacao</t>
        </is>
      </c>
      <c r="C76" s="11" t="inlineStr">
        <is>
          <t>Arame de amarracao do esgoto a tela do radier (a cada 1,5 m)</t>
        </is>
      </c>
      <c r="D76" s="10" t="inlineStr">
        <is>
          <t>un</t>
        </is>
      </c>
      <c r="E76" s="14" t="n">
        <v>57</v>
      </c>
      <c r="F76" s="11" t="inlineStr"/>
      <c r="G76" s="11" t="inlineStr"/>
      <c r="H76" s="11" t="inlineStr">
        <is>
          <t>o modelo nao sabe descrever este item para um fornecedor</t>
        </is>
      </c>
      <c r="I76" s="18" t="inlineStr">
        <is>
          <t>com lacuna</t>
        </is>
      </c>
    </row>
    <row r="77">
      <c r="A77" s="9" t="inlineStr">
        <is>
          <t>PAR-EST</t>
        </is>
      </c>
      <c r="B77" s="10" t="inlineStr">
        <is>
          <t>ligacao</t>
        </is>
      </c>
      <c r="C77" s="11" t="inlineStr">
        <is>
          <t>Parafuso estrutural auto-brocante</t>
        </is>
      </c>
      <c r="D77" s="10" t="inlineStr">
        <is>
          <t>un</t>
        </is>
      </c>
      <c r="E77" s="14" t="n">
        <v>6524</v>
      </c>
      <c r="F77" s="11" t="inlineStr">
        <is>
          <t>tipos em uso: AB 4,8x19 ponta broca, AB 5,5x25 ponta broca</t>
        </is>
      </c>
      <c r="G77" s="11" t="inlineStr">
        <is>
          <t>NBR 14762 item 8.4</t>
        </is>
      </c>
      <c r="H77" s="11" t="inlineStr"/>
      <c r="I77" s="18" t="inlineStr">
        <is>
          <t>sim</t>
        </is>
      </c>
    </row>
    <row r="78">
      <c r="A78" s="9" t="inlineStr">
        <is>
          <t>FAC-FASCIA</t>
        </is>
      </c>
      <c r="B78" s="10" t="inlineStr">
        <is>
          <t>fachada</t>
        </is>
      </c>
      <c r="C78" s="11" t="inlineStr">
        <is>
          <t>Fascia de platibanda 450 mm, aluminio grafite dobrado, rufo integrado</t>
        </is>
      </c>
      <c r="D78" s="10" t="inlineStr">
        <is>
          <t>m</t>
        </is>
      </c>
      <c r="E78" s="14" t="n">
        <v>126</v>
      </c>
      <c r="F78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8" s="11" t="inlineStr">
        <is>
          <t>NBR 13245, NBR 15498</t>
        </is>
      </c>
      <c r="H78" s="11" t="inlineStr"/>
      <c r="I78" s="18" t="inlineStr">
        <is>
          <t>sim</t>
        </is>
      </c>
    </row>
    <row r="79">
      <c r="A79" s="9" t="inlineStr">
        <is>
          <t>FAC-MINERAL</t>
        </is>
      </c>
      <c r="B79" s="10" t="inlineStr">
        <is>
          <t>fachada</t>
        </is>
      </c>
      <c r="C79" s="11" t="inlineStr">
        <is>
          <t>Acrescimo: placa cimenticia com revestimento mineral de fabrica, junta seca 6 mm</t>
        </is>
      </c>
      <c r="D79" s="10" t="inlineStr">
        <is>
          <t>m2</t>
        </is>
      </c>
      <c r="E79" s="14" t="n">
        <v>217.3</v>
      </c>
      <c r="F79" s="11" t="inlineStr">
        <is>
          <t>placa cimenticia 1.200 x 2.400 com revestimento mineral aplicado em fabrica, cor clara, junta seca de 6 mm com perfil EPDM — face externa do volume superior e da platibanda</t>
        </is>
      </c>
      <c r="G79" s="11" t="inlineStr">
        <is>
          <t>NBR 13245, NBR 15498</t>
        </is>
      </c>
      <c r="H79" s="11" t="inlineStr">
        <is>
          <t>fabricante e linha do revestimento mineral: acabamento de fachada e decisao do proprietario</t>
        </is>
      </c>
      <c r="I79" s="18" t="inlineStr">
        <is>
          <t>sim</t>
        </is>
      </c>
    </row>
    <row r="80">
      <c r="A80" s="9" t="inlineStr">
        <is>
          <t>BRI-RIPA</t>
        </is>
      </c>
      <c r="B80" s="10" t="inlineStr">
        <is>
          <t>fachada</t>
        </is>
      </c>
      <c r="C80" s="11" t="inlineStr">
        <is>
          <t>Ripa de fachada: tubular de aluminio 50 x 20 x 1,2 mm</t>
        </is>
      </c>
      <c r="D80" s="10" t="inlineStr">
        <is>
          <t>m</t>
        </is>
      </c>
      <c r="E80" s="14" t="n">
        <v>375</v>
      </c>
      <c r="F80" s="11" t="inlineStr"/>
      <c r="G80" s="11" t="inlineStr"/>
      <c r="H80" s="11" t="inlineStr">
        <is>
          <t>o modelo nao sabe descrever este item para um fornecedor</t>
        </is>
      </c>
      <c r="I80" s="18" t="inlineStr">
        <is>
          <t>com lacuna</t>
        </is>
      </c>
    </row>
    <row r="81">
      <c r="A81" s="9" t="inlineStr">
        <is>
          <t>FAC-BASE</t>
        </is>
      </c>
      <c r="B81" s="10" t="inlineStr">
        <is>
          <t>fachada</t>
        </is>
      </c>
      <c r="C81" s="11" t="inlineStr">
        <is>
          <t>Basecoat de regularizacao sobre placa cimenticia</t>
        </is>
      </c>
      <c r="D81" s="10" t="inlineStr">
        <is>
          <t>m2</t>
        </is>
      </c>
      <c r="E81" s="14" t="n">
        <v>183.4</v>
      </c>
      <c r="F81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1" s="11" t="inlineStr">
        <is>
          <t>NBR 13245, NBR 15498</t>
        </is>
      </c>
      <c r="H81" s="11" t="inlineStr"/>
      <c r="I81" s="18" t="inlineStr">
        <is>
          <t>sim</t>
        </is>
      </c>
    </row>
    <row r="82">
      <c r="A82" s="9" t="inlineStr">
        <is>
          <t>FAC-MAO</t>
        </is>
      </c>
      <c r="B82" s="10" t="inlineStr">
        <is>
          <t>fachada</t>
        </is>
      </c>
      <c r="C82" s="11" t="inlineStr">
        <is>
          <t>Mao de obra de fachada (basecoat, tela, junta e pintura)</t>
        </is>
      </c>
      <c r="D82" s="10" t="inlineStr">
        <is>
          <t>m2</t>
        </is>
      </c>
      <c r="E82" s="14" t="n">
        <v>183.4</v>
      </c>
      <c r="F82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2" s="11" t="inlineStr">
        <is>
          <t>NBR 13245, NBR 15498</t>
        </is>
      </c>
      <c r="H82" s="11" t="inlineStr"/>
      <c r="I82" s="18" t="inlineStr">
        <is>
          <t>sim</t>
        </is>
      </c>
    </row>
    <row r="83">
      <c r="A83" s="9" t="inlineStr">
        <is>
          <t>FAC-JUNTA-SECA</t>
        </is>
      </c>
      <c r="B83" s="10" t="inlineStr">
        <is>
          <t>fachada</t>
        </is>
      </c>
      <c r="C83" s="11" t="inlineStr">
        <is>
          <t>Junta seca: perfil EPDM e fundo de junta</t>
        </is>
      </c>
      <c r="D83" s="10" t="inlineStr">
        <is>
          <t>m</t>
        </is>
      </c>
      <c r="E83" s="14" t="n">
        <v>271.7</v>
      </c>
      <c r="F83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3" s="11" t="inlineStr">
        <is>
          <t>NBR 13245, NBR 15498</t>
        </is>
      </c>
      <c r="H83" s="11" t="inlineStr"/>
      <c r="I83" s="18" t="inlineStr">
        <is>
          <t>sim</t>
        </is>
      </c>
    </row>
    <row r="84">
      <c r="A84" s="9" t="inlineStr">
        <is>
          <t>BRI-MEC</t>
        </is>
      </c>
      <c r="B84" s="10" t="inlineStr">
        <is>
          <t>fachada</t>
        </is>
      </c>
      <c r="C84" s="11" t="inlineStr">
        <is>
          <t>Mecanismo de brise movel: guia, roldana e trava</t>
        </is>
      </c>
      <c r="D84" s="10" t="inlineStr">
        <is>
          <t>cj</t>
        </is>
      </c>
      <c r="E84" s="14" t="n">
        <v>2</v>
      </c>
      <c r="F84" s="11" t="inlineStr"/>
      <c r="G84" s="11" t="inlineStr"/>
      <c r="H84" s="11" t="inlineStr">
        <is>
          <t>o modelo nao sabe descrever este item para um fornecedor</t>
        </is>
      </c>
      <c r="I84" s="18" t="inlineStr">
        <is>
          <t>com lacuna</t>
        </is>
      </c>
    </row>
    <row r="85">
      <c r="A85" s="9" t="inlineStr">
        <is>
          <t>FAC-TINTA</t>
        </is>
      </c>
      <c r="B85" s="10" t="inlineStr">
        <is>
          <t>fachada</t>
        </is>
      </c>
      <c r="C85" s="11" t="inlineStr">
        <is>
          <t>Tinta acrilica elastomerica lisa com biocida, 2 demaos</t>
        </is>
      </c>
      <c r="D85" s="10" t="inlineStr">
        <is>
          <t>L</t>
        </is>
      </c>
      <c r="E85" s="14" t="n">
        <v>52.4</v>
      </c>
      <c r="F85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5" s="11" t="inlineStr">
        <is>
          <t>NBR 13245, NBR 15498</t>
        </is>
      </c>
      <c r="H85" s="11" t="inlineStr"/>
      <c r="I85" s="18" t="inlineStr">
        <is>
          <t>sim</t>
        </is>
      </c>
    </row>
    <row r="86">
      <c r="A86" s="9" t="inlineStr">
        <is>
          <t>FAC-JUNTA</t>
        </is>
      </c>
      <c r="B86" s="10" t="inlineStr">
        <is>
          <t>fachada</t>
        </is>
      </c>
      <c r="C86" s="11" t="inlineStr">
        <is>
          <t>Tratamento de junta externa: fundo de junta e selante PU</t>
        </is>
      </c>
      <c r="D86" s="10" t="inlineStr">
        <is>
          <t>m</t>
        </is>
      </c>
      <c r="E86" s="14" t="n">
        <v>229.3</v>
      </c>
      <c r="F86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6" s="11" t="inlineStr">
        <is>
          <t>NBR 13245, NBR 15498</t>
        </is>
      </c>
      <c r="H86" s="11" t="inlineStr"/>
      <c r="I86" s="18" t="inlineStr">
        <is>
          <t>sim</t>
        </is>
      </c>
    </row>
    <row r="87">
      <c r="A87" s="9" t="inlineStr">
        <is>
          <t>BRI-TRAV</t>
        </is>
      </c>
      <c r="B87" s="10" t="inlineStr">
        <is>
          <t>fachada</t>
        </is>
      </c>
      <c r="C87" s="11" t="inlineStr">
        <is>
          <t>Travessa de brise: U 50x25x1,2 aluminio</t>
        </is>
      </c>
      <c r="D87" s="10" t="inlineStr">
        <is>
          <t>m</t>
        </is>
      </c>
      <c r="E87" s="14" t="n">
        <v>51.6</v>
      </c>
      <c r="F87" s="11" t="inlineStr"/>
      <c r="G87" s="11" t="inlineStr"/>
      <c r="H87" s="11" t="inlineStr">
        <is>
          <t>o modelo nao sabe descrever este item para um fornecedor</t>
        </is>
      </c>
      <c r="I87" s="18" t="inlineStr">
        <is>
          <t>com lacuna</t>
        </is>
      </c>
    </row>
    <row r="88">
      <c r="A88" s="9" t="inlineStr">
        <is>
          <t>FAC-TELA</t>
        </is>
      </c>
      <c r="B88" s="10" t="inlineStr">
        <is>
          <t>fachada</t>
        </is>
      </c>
      <c r="C88" s="11" t="inlineStr">
        <is>
          <t>Tela de fibra de vidro alcali-resistente, embutida no basecoat</t>
        </is>
      </c>
      <c r="D88" s="10" t="inlineStr">
        <is>
          <t>m2</t>
        </is>
      </c>
      <c r="E88" s="14" t="n">
        <v>201.8</v>
      </c>
      <c r="F88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8" s="11" t="inlineStr">
        <is>
          <t>NBR 13245, NBR 15498</t>
        </is>
      </c>
      <c r="H88" s="11" t="inlineStr"/>
      <c r="I88" s="18" t="inlineStr">
        <is>
          <t>sim</t>
        </is>
      </c>
    </row>
    <row r="89">
      <c r="A89" s="9" t="inlineStr">
        <is>
          <t>BRI-FIX</t>
        </is>
      </c>
      <c r="B89" s="10" t="inlineStr">
        <is>
          <t>fachada</t>
        </is>
      </c>
      <c r="C89" s="11" t="inlineStr">
        <is>
          <t>Fixacao de travessa no montante</t>
        </is>
      </c>
      <c r="D89" s="10" t="inlineStr">
        <is>
          <t>un</t>
        </is>
      </c>
      <c r="E89" s="14" t="n">
        <v>96</v>
      </c>
      <c r="F89" s="11" t="inlineStr"/>
      <c r="G89" s="11" t="inlineStr"/>
      <c r="H89" s="11" t="inlineStr">
        <is>
          <t>o modelo nao sabe descrever este item para um fornecedor</t>
        </is>
      </c>
      <c r="I89" s="18" t="inlineStr">
        <is>
          <t>com lacuna</t>
        </is>
      </c>
    </row>
    <row r="90">
      <c r="A90" s="9" t="inlineStr">
        <is>
          <t>EXT-BLOCO</t>
        </is>
      </c>
      <c r="B90" s="10" t="inlineStr">
        <is>
          <t>externo</t>
        </is>
      </c>
      <c r="C90" s="11" t="inlineStr">
        <is>
          <t>Muro: bloco de concreto estrutural 14 x 19 x 39 ap</t>
        </is>
      </c>
      <c r="D90" s="10" t="inlineStr">
        <is>
          <t>un</t>
        </is>
      </c>
      <c r="E90" s="14" t="n">
        <v>2750</v>
      </c>
      <c r="F90" s="11" t="inlineStr"/>
      <c r="G90" s="11" t="inlineStr"/>
      <c r="H90" s="11" t="inlineStr">
        <is>
          <t>o modelo nao sabe descrever este item para um fornecedor</t>
        </is>
      </c>
      <c r="I90" s="18" t="inlineStr">
        <is>
          <t>com lacuna</t>
        </is>
      </c>
    </row>
    <row r="91">
      <c r="A91" s="9" t="inlineStr">
        <is>
          <t>EXT-PISO2</t>
        </is>
      </c>
      <c r="B91" s="10" t="inlineStr">
        <is>
          <t>externo</t>
        </is>
      </c>
      <c r="C91" s="11" t="inlineStr">
        <is>
          <t>lounge e circulacao do deck: WPC coextrudado claro</t>
        </is>
      </c>
      <c r="D91" s="10" t="inlineStr">
        <is>
          <t>m2</t>
        </is>
      </c>
      <c r="E91" s="14" t="n">
        <v>33.12</v>
      </c>
      <c r="F91" s="11" t="inlineStr"/>
      <c r="G91" s="11" t="inlineStr"/>
      <c r="H91" s="11" t="inlineStr">
        <is>
          <t>o modelo nao sabe descrever este item para um fornecedor</t>
        </is>
      </c>
      <c r="I91" s="18" t="inlineStr">
        <is>
          <t>com lacuna</t>
        </is>
      </c>
    </row>
    <row r="92">
      <c r="A92" s="9" t="inlineStr">
        <is>
          <t>EXT-PISC-EST</t>
        </is>
      </c>
      <c r="B92" s="10" t="inlineStr">
        <is>
          <t>externo</t>
        </is>
      </c>
      <c r="C92" s="11" t="inlineStr">
        <is>
          <t>Piscina: casca de concreto armado 150 mm</t>
        </is>
      </c>
      <c r="D92" s="10" t="inlineStr">
        <is>
          <t>m3</t>
        </is>
      </c>
      <c r="E92" s="14" t="n">
        <v>4.57</v>
      </c>
      <c r="F92" s="11" t="inlineStr"/>
      <c r="G92" s="11" t="inlineStr"/>
      <c r="H92" s="11" t="inlineStr">
        <is>
          <t>o modelo nao sabe descrever este item para um fornecedor</t>
        </is>
      </c>
      <c r="I92" s="18" t="inlineStr">
        <is>
          <t>com lacuna</t>
        </is>
      </c>
    </row>
    <row r="93">
      <c r="A93" s="9" t="inlineStr">
        <is>
          <t>EXT-PISO4</t>
        </is>
      </c>
      <c r="B93" s="10" t="inlineStr">
        <is>
          <t>externo</t>
        </is>
      </c>
      <c r="C93" s="11" t="inlineStr">
        <is>
          <t>patio e deck descoberto: porcelanato externo claro R11</t>
        </is>
      </c>
      <c r="D93" s="10" t="inlineStr">
        <is>
          <t>m2</t>
        </is>
      </c>
      <c r="E93" s="14" t="n">
        <v>43.2</v>
      </c>
      <c r="F93" s="11" t="inlineStr"/>
      <c r="G93" s="11" t="inlineStr"/>
      <c r="H93" s="11" t="inlineStr">
        <is>
          <t>o modelo nao sabe descrever este item para um fornecedor</t>
        </is>
      </c>
      <c r="I93" s="18" t="inlineStr">
        <is>
          <t>com lacuna</t>
        </is>
      </c>
    </row>
    <row r="94">
      <c r="A94" s="9" t="inlineStr">
        <is>
          <t>EXT-PISC-REV</t>
        </is>
      </c>
      <c r="B94" s="10" t="inlineStr">
        <is>
          <t>externo</t>
        </is>
      </c>
      <c r="C94" s="11" t="inlineStr">
        <is>
          <t>Piscina: revestimento de fundo e paredes</t>
        </is>
      </c>
      <c r="D94" s="10" t="inlineStr">
        <is>
          <t>m2</t>
        </is>
      </c>
      <c r="E94" s="14" t="n">
        <v>30.43</v>
      </c>
      <c r="F94" s="11" t="inlineStr"/>
      <c r="G94" s="11" t="inlineStr"/>
      <c r="H94" s="11" t="inlineStr">
        <is>
          <t>o modelo nao sabe descrever este item para um fornecedor</t>
        </is>
      </c>
      <c r="I94" s="18" t="inlineStr">
        <is>
          <t>com lacuna</t>
        </is>
      </c>
    </row>
    <row r="95">
      <c r="A95" s="9" t="inlineStr">
        <is>
          <t>EXT-VASO</t>
        </is>
      </c>
      <c r="B95" s="10" t="inlineStr">
        <is>
          <t>externo</t>
        </is>
      </c>
      <c r="C95" s="11" t="inlineStr">
        <is>
          <t>Vaso e planta em vaso</t>
        </is>
      </c>
      <c r="D95" s="10" t="inlineStr">
        <is>
          <t>un</t>
        </is>
      </c>
      <c r="E95" s="14" t="n">
        <v>24</v>
      </c>
      <c r="F95" s="11" t="inlineStr"/>
      <c r="G95" s="11" t="inlineStr"/>
      <c r="H95" s="11" t="inlineStr">
        <is>
          <t>o modelo nao sabe descrever este item para um fornecedor</t>
        </is>
      </c>
      <c r="I95" s="18" t="inlineStr">
        <is>
          <t>com lacuna</t>
        </is>
      </c>
    </row>
    <row r="96">
      <c r="A96" s="9" t="inlineStr">
        <is>
          <t>EXT-PG03</t>
        </is>
      </c>
      <c r="B96" s="10" t="inlineStr">
        <is>
          <t>externo</t>
        </is>
      </c>
      <c r="C96" s="11" t="inlineStr">
        <is>
          <t>Portao lateral PG03 (dir): ripa de aluminio grafite, 4860 x 2200 mm, pivotante, duas folhas</t>
        </is>
      </c>
      <c r="D96" s="10" t="inlineStr">
        <is>
          <t>m</t>
        </is>
      </c>
      <c r="E96" s="14" t="n">
        <v>134.2</v>
      </c>
      <c r="F96" s="11" t="inlineStr"/>
      <c r="G96" s="11" t="inlineStr"/>
      <c r="H96" s="11" t="inlineStr">
        <is>
          <t>o modelo nao sabe descrever este item para um fornecedor</t>
        </is>
      </c>
      <c r="I96" s="18" t="inlineStr">
        <is>
          <t>com lacuna</t>
        </is>
      </c>
    </row>
    <row r="97">
      <c r="A97" s="9" t="inlineStr">
        <is>
          <t>EXT-GRAMA</t>
        </is>
      </c>
      <c r="B97" s="10" t="inlineStr">
        <is>
          <t>externo</t>
        </is>
      </c>
      <c r="C97" s="11" t="inlineStr">
        <is>
          <t>Grama e canteiro</t>
        </is>
      </c>
      <c r="D97" s="10" t="inlineStr">
        <is>
          <t>m2</t>
        </is>
      </c>
      <c r="E97" s="14" t="n">
        <v>137.16</v>
      </c>
      <c r="F97" s="11" t="inlineStr"/>
      <c r="G97" s="11" t="inlineStr"/>
      <c r="H97" s="11" t="inlineStr">
        <is>
          <t>o modelo nao sabe descrever este item para um fornecedor</t>
        </is>
      </c>
      <c r="I97" s="18" t="inlineStr">
        <is>
          <t>com lacuna</t>
        </is>
      </c>
    </row>
    <row r="98">
      <c r="A98" s="9" t="inlineStr">
        <is>
          <t>EXT-HIDROF</t>
        </is>
      </c>
      <c r="B98" s="10" t="inlineStr">
        <is>
          <t>externo</t>
        </is>
      </c>
      <c r="C98" s="11" t="inlineStr">
        <is>
          <t>Hidrofugante incolor no muro aparente</t>
        </is>
      </c>
      <c r="D98" s="10" t="inlineStr">
        <is>
          <t>m2</t>
        </is>
      </c>
      <c r="E98" s="14" t="n">
        <v>220</v>
      </c>
      <c r="F98" s="11" t="inlineStr"/>
      <c r="G98" s="11" t="inlineStr"/>
      <c r="H98" s="11" t="inlineStr">
        <is>
          <t>o modelo nao sabe descrever este item para um fornecedor</t>
        </is>
      </c>
      <c r="I98" s="18" t="inlineStr">
        <is>
          <t>com lacuna</t>
        </is>
      </c>
    </row>
    <row r="99">
      <c r="A99" s="9" t="inlineStr">
        <is>
          <t>EXT-ARV</t>
        </is>
      </c>
      <c r="B99" s="10" t="inlineStr">
        <is>
          <t>externo</t>
        </is>
      </c>
      <c r="C99" s="11" t="inlineStr">
        <is>
          <t>Arvore de porte</t>
        </is>
      </c>
      <c r="D99" s="10" t="inlineStr">
        <is>
          <t>un</t>
        </is>
      </c>
      <c r="E99" s="14" t="n">
        <v>5</v>
      </c>
      <c r="F99" s="11" t="inlineStr"/>
      <c r="G99" s="11" t="inlineStr"/>
      <c r="H99" s="11" t="inlineStr">
        <is>
          <t>o modelo nao sabe descrever este item para um fornecedor</t>
        </is>
      </c>
      <c r="I99" s="18" t="inlineStr">
        <is>
          <t>com lacuna</t>
        </is>
      </c>
    </row>
    <row r="100">
      <c r="A100" s="9" t="inlineStr">
        <is>
          <t>EXT-PISO1</t>
        </is>
      </c>
      <c r="B100" s="10" t="inlineStr">
        <is>
          <t>externo</t>
        </is>
      </c>
      <c r="C100" s="11" t="inlineStr">
        <is>
          <t>faixa seca da piscina: porcelanato externo claro R11</t>
        </is>
      </c>
      <c r="D100" s="10" t="inlineStr">
        <is>
          <t>m2</t>
        </is>
      </c>
      <c r="E100" s="14" t="n">
        <v>24.3</v>
      </c>
      <c r="F100" s="11" t="inlineStr"/>
      <c r="G100" s="11" t="inlineStr"/>
      <c r="H100" s="11" t="inlineStr">
        <is>
          <t>o modelo nao sabe descrever este item para um fornecedor</t>
        </is>
      </c>
      <c r="I100" s="18" t="inlineStr">
        <is>
          <t>com lacuna</t>
        </is>
      </c>
    </row>
    <row r="101">
      <c r="A101" s="9" t="inlineStr">
        <is>
          <t>EXT-BORDA</t>
        </is>
      </c>
      <c r="B101" s="10" t="inlineStr">
        <is>
          <t>externo</t>
        </is>
      </c>
      <c r="C101" s="11" t="inlineStr">
        <is>
          <t>Borda de piscina</t>
        </is>
      </c>
      <c r="D101" s="10" t="inlineStr">
        <is>
          <t>m</t>
        </is>
      </c>
      <c r="E101" s="14" t="n">
        <v>17.4</v>
      </c>
      <c r="F101" s="11" t="inlineStr"/>
      <c r="G101" s="11" t="inlineStr"/>
      <c r="H101" s="11" t="inlineStr">
        <is>
          <t>o modelo nao sabe descrever este item para um fornecedor</t>
        </is>
      </c>
      <c r="I101" s="18" t="inlineStr">
        <is>
          <t>com lacuna</t>
        </is>
      </c>
    </row>
    <row r="102">
      <c r="A102" s="9" t="inlineStr">
        <is>
          <t>EXT-PISO3</t>
        </is>
      </c>
      <c r="B102" s="10" t="inlineStr">
        <is>
          <t>externo</t>
        </is>
      </c>
      <c r="C102" s="11" t="inlineStr">
        <is>
          <t>passeio e acesso: piso drenante intertravado claro</t>
        </is>
      </c>
      <c r="D102" s="10" t="inlineStr">
        <is>
          <t>m2</t>
        </is>
      </c>
      <c r="E102" s="14" t="n">
        <v>30.96</v>
      </c>
      <c r="F102" s="11" t="inlineStr"/>
      <c r="G102" s="11" t="inlineStr"/>
      <c r="H102" s="11" t="inlineStr">
        <is>
          <t>o modelo nao sabe descrever este item para um fornecedor</t>
        </is>
      </c>
      <c r="I102" s="18" t="inlineStr">
        <is>
          <t>com lacuna</t>
        </is>
      </c>
    </row>
    <row r="103">
      <c r="A103" s="9" t="inlineStr">
        <is>
          <t>EXT-PISC-BOMBA</t>
        </is>
      </c>
      <c r="B103" s="10" t="inlineStr">
        <is>
          <t>externo</t>
        </is>
      </c>
      <c r="C103" s="11" t="inlineStr">
        <is>
          <t>Piscina: bomba velocidade variavel 0,5 cv com pre-filtro</t>
        </is>
      </c>
      <c r="D103" s="10" t="inlineStr">
        <is>
          <t>un</t>
        </is>
      </c>
      <c r="E103" s="14" t="n">
        <v>1</v>
      </c>
      <c r="F103" s="11" t="inlineStr"/>
      <c r="G103" s="11" t="inlineStr"/>
      <c r="H103" s="11" t="inlineStr">
        <is>
          <t>o modelo nao sabe descrever este item para um fornecedor</t>
        </is>
      </c>
      <c r="I103" s="18" t="inlineStr">
        <is>
          <t>com lacuna</t>
        </is>
      </c>
    </row>
    <row r="104">
      <c r="A104" s="9" t="inlineStr">
        <is>
          <t>EXT-PG02</t>
        </is>
      </c>
      <c r="B104" s="10" t="inlineStr">
        <is>
          <t>externo</t>
        </is>
      </c>
      <c r="C104" s="11" t="inlineStr">
        <is>
          <t>Portao lateral PG02 (esq): ripa de aluminio grafite, 2260 x 2200 mm, pivotante, uma folha</t>
        </is>
      </c>
      <c r="D104" s="10" t="inlineStr">
        <is>
          <t>m</t>
        </is>
      </c>
      <c r="E104" s="14" t="n">
        <v>63.8</v>
      </c>
      <c r="F104" s="11" t="inlineStr"/>
      <c r="G104" s="11" t="inlineStr"/>
      <c r="H104" s="11" t="inlineStr">
        <is>
          <t>o modelo nao sabe descrever este item para um fornecedor</t>
        </is>
      </c>
      <c r="I104" s="18" t="inlineStr">
        <is>
          <t>com lacuna</t>
        </is>
      </c>
    </row>
    <row r="105">
      <c r="A105" s="9" t="inlineStr">
        <is>
          <t>EXT-PISC-TUBO</t>
        </is>
      </c>
      <c r="B105" s="10" t="inlineStr">
        <is>
          <t>externo</t>
        </is>
      </c>
      <c r="C105" s="11" t="inlineStr">
        <is>
          <t>Piscina: tubo PVC soldavel DN50 com conexoes</t>
        </is>
      </c>
      <c r="D105" s="10" t="inlineStr">
        <is>
          <t>m</t>
        </is>
      </c>
      <c r="E105" s="14" t="n">
        <v>94.2</v>
      </c>
      <c r="F105" s="11" t="inlineStr"/>
      <c r="G105" s="11" t="inlineStr"/>
      <c r="H105" s="11" t="inlineStr">
        <is>
          <t>o modelo nao sabe descrever este item para um fornecedor</t>
        </is>
      </c>
      <c r="I105" s="18" t="inlineStr">
        <is>
          <t>com lacuna</t>
        </is>
      </c>
    </row>
    <row r="106">
      <c r="A106" s="9" t="inlineStr">
        <is>
          <t>EXT-PISO5</t>
        </is>
      </c>
      <c r="B106" s="10" t="inlineStr">
        <is>
          <t>externo</t>
        </is>
      </c>
      <c r="C106" s="11" t="inlineStr">
        <is>
          <t>varanda do pavimento superior: porcelanato externo claro R11</t>
        </is>
      </c>
      <c r="D106" s="10" t="inlineStr">
        <is>
          <t>m2</t>
        </is>
      </c>
      <c r="E106" s="14" t="n">
        <v>14.04</v>
      </c>
      <c r="F106" s="11" t="inlineStr"/>
      <c r="G106" s="11" t="inlineStr"/>
      <c r="H106" s="11" t="inlineStr">
        <is>
          <t>o modelo nao sabe descrever este item para um fornecedor</t>
        </is>
      </c>
      <c r="I106" s="18" t="inlineStr">
        <is>
          <t>com lacuna</t>
        </is>
      </c>
    </row>
    <row r="107">
      <c r="A107" s="9" t="inlineStr">
        <is>
          <t>EXT-PISC-FILTRO</t>
        </is>
      </c>
      <c r="B107" s="10" t="inlineStr">
        <is>
          <t>externo</t>
        </is>
      </c>
      <c r="C107" s="11" t="inlineStr">
        <is>
          <t>Piscina: filtro de areia DE 500 mm com valvula seletora</t>
        </is>
      </c>
      <c r="D107" s="10" t="inlineStr">
        <is>
          <t>un</t>
        </is>
      </c>
      <c r="E107" s="14" t="n">
        <v>1</v>
      </c>
      <c r="F107" s="11" t="inlineStr"/>
      <c r="G107" s="11" t="inlineStr"/>
      <c r="H107" s="11" t="inlineStr">
        <is>
          <t>o modelo nao sabe descrever este item para um fornecedor</t>
        </is>
      </c>
      <c r="I107" s="18" t="inlineStr">
        <is>
          <t>com lacuna</t>
        </is>
      </c>
    </row>
    <row r="108">
      <c r="A108" s="9" t="inlineStr">
        <is>
          <t>EXT-PISC-IMP</t>
        </is>
      </c>
      <c r="B108" s="10" t="inlineStr">
        <is>
          <t>externo</t>
        </is>
      </c>
      <c r="C108" s="11" t="inlineStr">
        <is>
          <t>Piscina: impermeabilizacao (cristalizante + polimerica)</t>
        </is>
      </c>
      <c r="D108" s="10" t="inlineStr">
        <is>
          <t>m2</t>
        </is>
      </c>
      <c r="E108" s="14" t="n">
        <v>30.43</v>
      </c>
      <c r="F108" s="11" t="inlineStr"/>
      <c r="G108" s="11" t="inlineStr"/>
      <c r="H108" s="11" t="inlineStr">
        <is>
          <t>o modelo nao sabe descrever este item para um fornecedor</t>
        </is>
      </c>
      <c r="I108" s="18" t="inlineStr">
        <is>
          <t>com lacuna</t>
        </is>
      </c>
    </row>
    <row r="109">
      <c r="A109" s="9" t="inlineStr">
        <is>
          <t>EXT-GRAUTE</t>
        </is>
      </c>
      <c r="B109" s="10" t="inlineStr">
        <is>
          <t>externo</t>
        </is>
      </c>
      <c r="C109" s="11" t="inlineStr">
        <is>
          <t>Graute de cinta e pilarete do muro</t>
        </is>
      </c>
      <c r="D109" s="10" t="inlineStr">
        <is>
          <t>m3</t>
        </is>
      </c>
      <c r="E109" s="14" t="n">
        <v>2.64</v>
      </c>
      <c r="F109" s="11" t="inlineStr"/>
      <c r="G109" s="11" t="inlineStr"/>
      <c r="H109" s="11" t="inlineStr">
        <is>
          <t>o modelo nao sabe descrever este item para um fornecedor</t>
        </is>
      </c>
      <c r="I109" s="18" t="inlineStr">
        <is>
          <t>com lacuna</t>
        </is>
      </c>
    </row>
    <row r="110">
      <c r="A110" s="9" t="inlineStr">
        <is>
          <t>EXT-PISC-LED</t>
        </is>
      </c>
      <c r="B110" s="10" t="inlineStr">
        <is>
          <t>externo</t>
        </is>
      </c>
      <c r="C110" s="11" t="inlineStr">
        <is>
          <t>Piscina: LED subaquatico 18 W 2700-3000 K</t>
        </is>
      </c>
      <c r="D110" s="10" t="inlineStr">
        <is>
          <t>un</t>
        </is>
      </c>
      <c r="E110" s="14" t="n">
        <v>3</v>
      </c>
      <c r="F110" s="11" t="inlineStr"/>
      <c r="G110" s="11" t="inlineStr"/>
      <c r="H110" s="11" t="inlineStr">
        <is>
          <t>o modelo nao sabe descrever este item para um fornecedor</t>
        </is>
      </c>
      <c r="I110" s="18" t="inlineStr">
        <is>
          <t>com lacuna</t>
        </is>
      </c>
    </row>
    <row r="111">
      <c r="A111" s="9" t="inlineStr">
        <is>
          <t>EXT-PG03-TRV</t>
        </is>
      </c>
      <c r="B111" s="10" t="inlineStr">
        <is>
          <t>externo</t>
        </is>
      </c>
      <c r="C111" s="11" t="inlineStr">
        <is>
          <t>Portao PG03: travessa e quadro</t>
        </is>
      </c>
      <c r="D111" s="10" t="inlineStr">
        <is>
          <t>m</t>
        </is>
      </c>
      <c r="E111" s="14" t="n">
        <v>28.2</v>
      </c>
      <c r="F111" s="11" t="inlineStr"/>
      <c r="G111" s="11" t="inlineStr"/>
      <c r="H111" s="11" t="inlineStr">
        <is>
          <t>o modelo nao sabe descrever este item para um fornecedor</t>
        </is>
      </c>
      <c r="I111" s="18" t="inlineStr">
        <is>
          <t>com lacuna</t>
        </is>
      </c>
    </row>
    <row r="112">
      <c r="A112" s="9" t="inlineStr">
        <is>
          <t>EXT-PISC-DRENO</t>
        </is>
      </c>
      <c r="B112" s="10" t="inlineStr">
        <is>
          <t>externo</t>
        </is>
      </c>
      <c r="C112" s="11" t="inlineStr">
        <is>
          <t>Piscina: dreno de fundo antiaprisionamento</t>
        </is>
      </c>
      <c r="D112" s="10" t="inlineStr">
        <is>
          <t>un</t>
        </is>
      </c>
      <c r="E112" s="14" t="n">
        <v>2</v>
      </c>
      <c r="F112" s="11" t="inlineStr"/>
      <c r="G112" s="11" t="inlineStr"/>
      <c r="H112" s="11" t="inlineStr">
        <is>
          <t>o modelo nao sabe descrever este item para um fornecedor</t>
        </is>
      </c>
      <c r="I112" s="18" t="inlineStr">
        <is>
          <t>com lacuna</t>
        </is>
      </c>
    </row>
    <row r="113">
      <c r="A113" s="9" t="inlineStr">
        <is>
          <t>EXT-PISC-AREIA</t>
        </is>
      </c>
      <c r="B113" s="10" t="inlineStr">
        <is>
          <t>externo</t>
        </is>
      </c>
      <c r="C113" s="11" t="inlineStr">
        <is>
          <t>Piscina: areia filtrante (leito de 600 mm)</t>
        </is>
      </c>
      <c r="D113" s="10" t="inlineStr">
        <is>
          <t>kg</t>
        </is>
      </c>
      <c r="E113" s="14" t="n">
        <v>188</v>
      </c>
      <c r="F113" s="11" t="inlineStr"/>
      <c r="G113" s="11" t="inlineStr"/>
      <c r="H113" s="11" t="inlineStr">
        <is>
          <t>o modelo nao sabe descrever este item para um fornecedor</t>
        </is>
      </c>
      <c r="I113" s="18" t="inlineStr">
        <is>
          <t>com lacuna</t>
        </is>
      </c>
    </row>
    <row r="114">
      <c r="A114" s="9" t="inlineStr">
        <is>
          <t>EXT-PG02-TRV</t>
        </is>
      </c>
      <c r="B114" s="10" t="inlineStr">
        <is>
          <t>externo</t>
        </is>
      </c>
      <c r="C114" s="11" t="inlineStr">
        <is>
          <t>Portao PG02: travessa e quadro</t>
        </is>
      </c>
      <c r="D114" s="10" t="inlineStr">
        <is>
          <t>m</t>
        </is>
      </c>
      <c r="E114" s="14" t="n">
        <v>8.9</v>
      </c>
      <c r="F114" s="11" t="inlineStr"/>
      <c r="G114" s="11" t="inlineStr"/>
      <c r="H114" s="11" t="inlineStr">
        <is>
          <t>o modelo nao sabe descrever este item para um fornecedor</t>
        </is>
      </c>
      <c r="I114" s="18" t="inlineStr">
        <is>
          <t>com lacuna</t>
        </is>
      </c>
    </row>
    <row r="115">
      <c r="A115" s="9" t="inlineStr">
        <is>
          <t>EXT-PG03-FER</t>
        </is>
      </c>
      <c r="B115" s="10" t="inlineStr">
        <is>
          <t>externo</t>
        </is>
      </c>
      <c r="C115" s="11" t="inlineStr">
        <is>
          <t>Portao PG03: dobradica reforcada</t>
        </is>
      </c>
      <c r="D115" s="10" t="inlineStr">
        <is>
          <t>un</t>
        </is>
      </c>
      <c r="E115" s="14" t="n">
        <v>6</v>
      </c>
      <c r="F115" s="11" t="inlineStr"/>
      <c r="G115" s="11" t="inlineStr"/>
      <c r="H115" s="11" t="inlineStr">
        <is>
          <t>o modelo nao sabe descrever este item para um fornecedor</t>
        </is>
      </c>
      <c r="I115" s="18" t="inlineStr">
        <is>
          <t>com lacuna</t>
        </is>
      </c>
    </row>
    <row r="116">
      <c r="A116" s="9" t="inlineStr">
        <is>
          <t>EXT-PISC-FONTE</t>
        </is>
      </c>
      <c r="B116" s="10" t="inlineStr">
        <is>
          <t>externo</t>
        </is>
      </c>
      <c r="C116" s="11" t="inlineStr">
        <is>
          <t>Piscina: fonte SELV 12 V com DR</t>
        </is>
      </c>
      <c r="D116" s="10" t="inlineStr">
        <is>
          <t>un</t>
        </is>
      </c>
      <c r="E116" s="14" t="n">
        <v>1</v>
      </c>
      <c r="F116" s="11" t="inlineStr"/>
      <c r="G116" s="11" t="inlineStr"/>
      <c r="H116" s="11" t="inlineStr">
        <is>
          <t>o modelo nao sabe descrever este item para um fornecedor</t>
        </is>
      </c>
      <c r="I116" s="18" t="inlineStr">
        <is>
          <t>com lacuna</t>
        </is>
      </c>
    </row>
    <row r="117">
      <c r="A117" s="9" t="inlineStr">
        <is>
          <t>EXT-PISC-REG</t>
        </is>
      </c>
      <c r="B117" s="10" t="inlineStr">
        <is>
          <t>externo</t>
        </is>
      </c>
      <c r="C117" s="11" t="inlineStr">
        <is>
          <t>Piscina: registro de esfera DN50</t>
        </is>
      </c>
      <c r="D117" s="10" t="inlineStr">
        <is>
          <t>un</t>
        </is>
      </c>
      <c r="E117" s="14" t="n">
        <v>5</v>
      </c>
      <c r="F117" s="11" t="inlineStr"/>
      <c r="G117" s="11" t="inlineStr"/>
      <c r="H117" s="11" t="inlineStr">
        <is>
          <t>o modelo nao sabe descrever este item para um fornecedor</t>
        </is>
      </c>
      <c r="I117" s="18" t="inlineStr">
        <is>
          <t>com lacuna</t>
        </is>
      </c>
    </row>
    <row r="118">
      <c r="A118" s="9" t="inlineStr">
        <is>
          <t>EXT-PISC-SKIM</t>
        </is>
      </c>
      <c r="B118" s="10" t="inlineStr">
        <is>
          <t>externo</t>
        </is>
      </c>
      <c r="C118" s="11" t="inlineStr">
        <is>
          <t>Piscina: skimmer de embutir</t>
        </is>
      </c>
      <c r="D118" s="10" t="inlineStr">
        <is>
          <t>un</t>
        </is>
      </c>
      <c r="E118" s="14" t="n">
        <v>1</v>
      </c>
      <c r="F118" s="11" t="inlineStr"/>
      <c r="G118" s="11" t="inlineStr"/>
      <c r="H118" s="11" t="inlineStr">
        <is>
          <t>o modelo nao sabe descrever este item para um fornecedor</t>
        </is>
      </c>
      <c r="I118" s="18" t="inlineStr">
        <is>
          <t>com lacuna</t>
        </is>
      </c>
    </row>
    <row r="119">
      <c r="A119" s="9" t="inlineStr">
        <is>
          <t>EXT-PISC-RET</t>
        </is>
      </c>
      <c r="B119" s="10" t="inlineStr">
        <is>
          <t>externo</t>
        </is>
      </c>
      <c r="C119" s="11" t="inlineStr">
        <is>
          <t>Piscina: dispositivo de retorno</t>
        </is>
      </c>
      <c r="D119" s="10" t="inlineStr">
        <is>
          <t>un</t>
        </is>
      </c>
      <c r="E119" s="14" t="n">
        <v>4</v>
      </c>
      <c r="F119" s="11" t="inlineStr"/>
      <c r="G119" s="11" t="inlineStr"/>
      <c r="H119" s="11" t="inlineStr">
        <is>
          <t>o modelo nao sabe descrever este item para um fornecedor</t>
        </is>
      </c>
      <c r="I119" s="18" t="inlineStr">
        <is>
          <t>com lacuna</t>
        </is>
      </c>
    </row>
    <row r="120">
      <c r="A120" s="9" t="inlineStr">
        <is>
          <t>EXT-PG02-FER</t>
        </is>
      </c>
      <c r="B120" s="10" t="inlineStr">
        <is>
          <t>externo</t>
        </is>
      </c>
      <c r="C120" s="11" t="inlineStr">
        <is>
          <t>Portao PG02: dobradica reforcada</t>
        </is>
      </c>
      <c r="D120" s="10" t="inlineStr">
        <is>
          <t>un</t>
        </is>
      </c>
      <c r="E120" s="14" t="n">
        <v>3</v>
      </c>
      <c r="F120" s="11" t="inlineStr"/>
      <c r="G120" s="11" t="inlineStr"/>
      <c r="H120" s="11" t="inlineStr">
        <is>
          <t>o modelo nao sabe descrever este item para um fornecedor</t>
        </is>
      </c>
      <c r="I120" s="18" t="inlineStr">
        <is>
          <t>com lacuna</t>
        </is>
      </c>
    </row>
    <row r="121">
      <c r="A121" s="9" t="inlineStr">
        <is>
          <t>EXT-PG02-FEC</t>
        </is>
      </c>
      <c r="B121" s="10" t="inlineStr">
        <is>
          <t>externo</t>
        </is>
      </c>
      <c r="C121" s="11" t="inlineStr">
        <is>
          <t>Portao PG02: fechadura</t>
        </is>
      </c>
      <c r="D121" s="10" t="inlineStr">
        <is>
          <t>un</t>
        </is>
      </c>
      <c r="E121" s="14" t="n">
        <v>1</v>
      </c>
      <c r="F121" s="11" t="inlineStr"/>
      <c r="G121" s="11" t="inlineStr"/>
      <c r="H121" s="11" t="inlineStr">
        <is>
          <t>o modelo nao sabe descrever este item para um fornecedor</t>
        </is>
      </c>
      <c r="I121" s="18" t="inlineStr">
        <is>
          <t>com lacuna</t>
        </is>
      </c>
    </row>
    <row r="122">
      <c r="A122" s="9" t="inlineStr">
        <is>
          <t>EXT-PG03-FEC</t>
        </is>
      </c>
      <c r="B122" s="10" t="inlineStr">
        <is>
          <t>externo</t>
        </is>
      </c>
      <c r="C122" s="11" t="inlineStr">
        <is>
          <t>Portao PG03: fechadura</t>
        </is>
      </c>
      <c r="D122" s="10" t="inlineStr">
        <is>
          <t>un</t>
        </is>
      </c>
      <c r="E122" s="14" t="n">
        <v>1</v>
      </c>
      <c r="F122" s="11" t="inlineStr"/>
      <c r="G122" s="11" t="inlineStr"/>
      <c r="H122" s="11" t="inlineStr">
        <is>
          <t>o modelo nao sabe descrever este item para um fornecedor</t>
        </is>
      </c>
      <c r="I122" s="18" t="inlineStr">
        <is>
          <t>com lacuna</t>
        </is>
      </c>
    </row>
    <row r="123">
      <c r="A123" s="9" t="inlineStr">
        <is>
          <t>EXT-PISC-CABO</t>
        </is>
      </c>
      <c r="B123" s="10" t="inlineStr">
        <is>
          <t>externo</t>
        </is>
      </c>
      <c r="C123" s="11" t="inlineStr">
        <is>
          <t>Piscina: cabo 12 V dos LEDs</t>
        </is>
      </c>
      <c r="D123" s="10" t="inlineStr">
        <is>
          <t>m</t>
        </is>
      </c>
      <c r="E123" s="14" t="n">
        <v>34.5</v>
      </c>
      <c r="F123" s="11" t="inlineStr"/>
      <c r="G123" s="11" t="inlineStr"/>
      <c r="H123" s="11" t="inlineStr">
        <is>
          <t>o modelo nao sabe descrever este item para um fornecedor</t>
        </is>
      </c>
      <c r="I123" s="18" t="inlineStr">
        <is>
          <t>com lacuna</t>
        </is>
      </c>
    </row>
    <row r="124">
      <c r="A124" s="9" t="inlineStr">
        <is>
          <t>EXT-PISC-CXP</t>
        </is>
      </c>
      <c r="B124" s="10" t="inlineStr">
        <is>
          <t>externo</t>
        </is>
      </c>
      <c r="C124" s="11" t="inlineStr">
        <is>
          <t>Piscina: caixa de passagem estanque no deck</t>
        </is>
      </c>
      <c r="D124" s="10" t="inlineStr">
        <is>
          <t>un</t>
        </is>
      </c>
      <c r="E124" s="14" t="n">
        <v>3</v>
      </c>
      <c r="F124" s="11" t="inlineStr"/>
      <c r="G124" s="11" t="inlineStr"/>
      <c r="H124" s="11" t="inlineStr">
        <is>
          <t>o modelo nao sabe descrever este item para um fornecedor</t>
        </is>
      </c>
      <c r="I124" s="18" t="inlineStr">
        <is>
          <t>com lacuna</t>
        </is>
      </c>
    </row>
    <row r="125">
      <c r="A125" s="9" t="inlineStr">
        <is>
          <t>EXT-PISC-ASP</t>
        </is>
      </c>
      <c r="B125" s="10" t="inlineStr">
        <is>
          <t>externo</t>
        </is>
      </c>
      <c r="C125" s="11" t="inlineStr">
        <is>
          <t>Piscina: tomada de aspiracao</t>
        </is>
      </c>
      <c r="D125" s="10" t="inlineStr">
        <is>
          <t>un</t>
        </is>
      </c>
      <c r="E125" s="14" t="n">
        <v>1</v>
      </c>
      <c r="F125" s="11" t="inlineStr"/>
      <c r="G125" s="11" t="inlineStr"/>
      <c r="H125" s="11" t="inlineStr">
        <is>
          <t>o modelo nao sabe descrever este item para um fornecedor</t>
        </is>
      </c>
      <c r="I125" s="18" t="inlineStr">
        <is>
          <t>com lacuna</t>
        </is>
      </c>
    </row>
    <row r="126">
      <c r="A126" s="9" t="inlineStr">
        <is>
          <t>MO-MON</t>
        </is>
      </c>
      <c r="B126" s="10" t="inlineStr">
        <is>
          <t>servico</t>
        </is>
      </c>
      <c r="C126" s="11" t="inlineStr">
        <is>
          <t>Mao de obra de montagem</t>
        </is>
      </c>
      <c r="D126" s="10" t="inlineStr">
        <is>
          <t>h</t>
        </is>
      </c>
      <c r="E126" s="14" t="n">
        <v>927.5</v>
      </c>
      <c r="F126" s="11" t="inlineStr">
        <is>
          <t>hora de equipe, com encargos e EPI</t>
        </is>
      </c>
      <c r="G126" s="11" t="inlineStr"/>
      <c r="H126" s="11" t="inlineStr">
        <is>
          <t>convencao coletiva vigente e composicao de encargos</t>
        </is>
      </c>
      <c r="I126" s="18" t="inlineStr">
        <is>
          <t>sim</t>
        </is>
      </c>
    </row>
    <row r="127">
      <c r="A127" s="9" t="inlineStr">
        <is>
          <t>MO-FAB</t>
        </is>
      </c>
      <c r="B127" s="10" t="inlineStr">
        <is>
          <t>servico</t>
        </is>
      </c>
      <c r="C127" s="11" t="inlineStr">
        <is>
          <t>Mao de obra de fabrica</t>
        </is>
      </c>
      <c r="D127" s="10" t="inlineStr">
        <is>
          <t>h</t>
        </is>
      </c>
      <c r="E127" s="14" t="n">
        <v>54.6</v>
      </c>
      <c r="F127" s="11" t="inlineStr">
        <is>
          <t>hora de equipe, com encargos e EPI</t>
        </is>
      </c>
      <c r="G127" s="11" t="inlineStr"/>
      <c r="H127" s="11" t="inlineStr">
        <is>
          <t>convencao coletiva vigente e composicao de encargos</t>
        </is>
      </c>
      <c r="I127" s="18" t="inlineStr">
        <is>
          <t>sim</t>
        </is>
      </c>
    </row>
    <row r="128">
      <c r="A128" s="9" t="inlineStr">
        <is>
          <t>MAR-ARM</t>
        </is>
      </c>
      <c r="B128" s="10" t="inlineStr">
        <is>
          <t>marcenaria</t>
        </is>
      </c>
      <c r="C128" s="11" t="inlineStr">
        <is>
          <t>Armario de MDF sob medida (frente)</t>
        </is>
      </c>
      <c r="D128" s="10" t="inlineStr">
        <is>
          <t>m2</t>
        </is>
      </c>
      <c r="E128" s="14" t="n">
        <v>48.64</v>
      </c>
      <c r="F128" s="11" t="inlineStr">
        <is>
          <t>marcenaria sob medida conforme planta de layout; MDF 18 mm com acabamento em laminado ou pintura PU; ferragem com amortecedor</t>
        </is>
      </c>
      <c r="G128" s="11" t="inlineStr"/>
      <c r="H128" s="11" t="inlineStr">
        <is>
          <t>desenho executivo de marcenaria: a planta da a extensao e a profundidade, nao o interior do movel</t>
        </is>
      </c>
      <c r="I128" s="18" t="inlineStr">
        <is>
          <t>sim</t>
        </is>
      </c>
    </row>
    <row r="129">
      <c r="A129" s="9" t="inlineStr">
        <is>
          <t>REV-PISO</t>
        </is>
      </c>
      <c r="B129" s="10" t="inlineStr">
        <is>
          <t>revestimento</t>
        </is>
      </c>
      <c r="C129" s="11" t="inlineStr">
        <is>
          <t>Piso interno (porcelanato retificado)</t>
        </is>
      </c>
      <c r="D129" s="10" t="inlineStr">
        <is>
          <t>m2</t>
        </is>
      </c>
      <c r="E129" s="14" t="n">
        <v>366.3</v>
      </c>
      <c r="F129" s="11" t="inlineStr">
        <is>
          <t>revestimento ceramico conforme quadro de acabamentos por ambiente; area ja com 10 % de perda de corte e quebra</t>
        </is>
      </c>
      <c r="G129" s="11" t="inlineStr">
        <is>
          <t>NBR 13818, NBR 15463</t>
        </is>
      </c>
      <c r="H129" s="11" t="inlineStr">
        <is>
          <t>linha, formato e PEI: o modelo define o TIPO por ambiente, a linha e escolha de acabamento</t>
        </is>
      </c>
      <c r="I129" s="18" t="inlineStr">
        <is>
          <t>sim</t>
        </is>
      </c>
    </row>
    <row r="130">
      <c r="A130" s="9" t="inlineStr">
        <is>
          <t>FV-MODULO</t>
        </is>
      </c>
      <c r="B130" s="10" t="inlineStr">
        <is>
          <t>eletrica</t>
        </is>
      </c>
      <c r="C130" s="11" t="inlineStr">
        <is>
          <t>Modulo fotovoltaico 550 Wp</t>
        </is>
      </c>
      <c r="D130" s="10" t="inlineStr">
        <is>
          <t>un</t>
        </is>
      </c>
      <c r="E130" s="14" t="n">
        <v>30</v>
      </c>
      <c r="F130" s="11" t="inlineStr">
        <is>
          <t>sistema fotovoltaico conectado a rede (on-grid), microgeracao REN ANEEL 1.000/2021; modulos monocristalinos, inversor string trifasico com monitoramento</t>
        </is>
      </c>
      <c r="G130" s="11" t="inlineStr">
        <is>
          <t>NBR 16274, NBR 16690, Portaria INMETRO 140/2022</t>
        </is>
      </c>
      <c r="H130" s="11" t="inlineStr">
        <is>
          <t>marca e modelo de modulo e inversor; a potencia e a area estao dimensionadas, o produto e cotacao</t>
        </is>
      </c>
      <c r="I130" s="18" t="inlineStr">
        <is>
          <t>sim</t>
        </is>
      </c>
    </row>
    <row r="131">
      <c r="A131" s="9" t="inlineStr">
        <is>
          <t>PIN-PAREDE</t>
        </is>
      </c>
      <c r="B131" s="10" t="inlineStr">
        <is>
          <t>pintura</t>
        </is>
      </c>
      <c r="C131" s="11" t="inlineStr">
        <is>
          <t>Pintura de parede interna (latex acrilico, 2 demaos)</t>
        </is>
      </c>
      <c r="D131" s="10" t="inlineStr">
        <is>
          <t>m2</t>
        </is>
      </c>
      <c r="E131" s="14" t="n">
        <v>701.7</v>
      </c>
      <c r="F131" s="11" t="inlineStr">
        <is>
          <t>tinta e mao de obra conforme especificacao de acabamento; 2 demaos sobre selador; rendimento declarado na quantidade</t>
        </is>
      </c>
      <c r="G131" s="11" t="inlineStr">
        <is>
          <t>NBR 11702, NBR 13245</t>
        </is>
      </c>
      <c r="H131" s="11" t="inlineStr"/>
      <c r="I131" s="18" t="inlineStr">
        <is>
          <t>sim</t>
        </is>
      </c>
    </row>
    <row r="132">
      <c r="A132" s="9" t="inlineStr">
        <is>
          <t>MAR-GAB</t>
        </is>
      </c>
      <c r="B132" s="10" t="inlineStr">
        <is>
          <t>marcenaria</t>
        </is>
      </c>
      <c r="C132" s="11" t="inlineStr">
        <is>
          <t>Gabinete sob bancada, sob medida</t>
        </is>
      </c>
      <c r="D132" s="10" t="inlineStr">
        <is>
          <t>m</t>
        </is>
      </c>
      <c r="E132" s="14" t="n">
        <v>11.4</v>
      </c>
      <c r="F132" s="11" t="inlineStr">
        <is>
          <t>marcenaria sob medida conforme planta de layout; MDF 18 mm com acabamento em laminado ou pintura PU; ferragem com amortecedor</t>
        </is>
      </c>
      <c r="G132" s="11" t="inlineStr"/>
      <c r="H132" s="11" t="inlineStr">
        <is>
          <t>desenho executivo de marcenaria: a planta da a extensao e a profundidade, nao o interior do movel</t>
        </is>
      </c>
      <c r="I132" s="18" t="inlineStr">
        <is>
          <t>sim</t>
        </is>
      </c>
    </row>
    <row r="133">
      <c r="A133" s="9" t="inlineStr">
        <is>
          <t>REV-PAREDE</t>
        </is>
      </c>
      <c r="B133" s="10" t="inlineStr">
        <is>
          <t>revestimento</t>
        </is>
      </c>
      <c r="C133" s="11" t="inlineStr">
        <is>
          <t>Revestimento ceramico de parede em area molhada</t>
        </is>
      </c>
      <c r="D133" s="10" t="inlineStr">
        <is>
          <t>m2</t>
        </is>
      </c>
      <c r="E133" s="14" t="n">
        <v>155.5</v>
      </c>
      <c r="F133" s="11" t="inlineStr">
        <is>
          <t>revestimento ceramico conforme quadro de acabamentos por ambiente; area ja com 10 % de perda de corte e quebra</t>
        </is>
      </c>
      <c r="G133" s="11" t="inlineStr">
        <is>
          <t>NBR 13818, NBR 15463</t>
        </is>
      </c>
      <c r="H133" s="11" t="inlineStr">
        <is>
          <t>linha, formato e PEI: o modelo define o TIPO por ambiente, a linha e escolha de acabamento</t>
        </is>
      </c>
      <c r="I133" s="18" t="inlineStr">
        <is>
          <t>sim</t>
        </is>
      </c>
    </row>
    <row r="134">
      <c r="A134" s="9" t="inlineStr">
        <is>
          <t>EQP-SPLIT18</t>
        </is>
      </c>
      <c r="B134" s="10" t="inlineStr">
        <is>
          <t>equipamentos</t>
        </is>
      </c>
      <c r="C134" s="11" t="inlineStr">
        <is>
          <t>Split inverter 18.000 BTU/h</t>
        </is>
      </c>
      <c r="D134" s="10" t="inlineStr">
        <is>
          <t>un</t>
        </is>
      </c>
      <c r="E134" s="14" t="n">
        <v>4</v>
      </c>
      <c r="F134" s="11" t="inlineStr">
        <is>
          <t>equipamento novo, com garantia de fabrica e instalacao por credenciado; inverter, ciclo frio, R-32 ou R-410A, classe A</t>
        </is>
      </c>
      <c r="G134" s="11" t="inlineStr">
        <is>
          <t>NBR 16401, Portaria INMETRO de eficiencia</t>
        </is>
      </c>
      <c r="H134" s="11" t="inlineStr">
        <is>
          <t>marca e modelo: a capacidade esta dimensionada, a escolha do equipamento e do proprietario</t>
        </is>
      </c>
      <c r="I134" s="18" t="inlineStr">
        <is>
          <t>sim</t>
        </is>
      </c>
    </row>
    <row r="135">
      <c r="A135" s="9" t="inlineStr">
        <is>
          <t>LOU-BOX</t>
        </is>
      </c>
      <c r="B135" s="10" t="inlineStr">
        <is>
          <t>loucas</t>
        </is>
      </c>
      <c r="C135" s="11" t="inlineStr">
        <is>
          <t>Box de vidro temperado 8 mm, 1.900 mm de altura</t>
        </is>
      </c>
      <c r="D135" s="10" t="inlineStr">
        <is>
          <t>m2</t>
        </is>
      </c>
      <c r="E135" s="14" t="n">
        <v>16.1</v>
      </c>
      <c r="F135" s="11" t="inlineStr">
        <is>
          <t>louca / metal sanitario de linha comercial, cor branca para louca e acabamento cromado para metal; quantidade contada das pecas LOCADAS em planta, nao estimada por comodo</t>
        </is>
      </c>
      <c r="G135" s="11" t="inlineStr">
        <is>
          <t>NBR 15097, NBR 15705</t>
        </is>
      </c>
      <c r="H135" s="11" t="inlineStr">
        <is>
          <t>linha e fabricante: louca e metal sao decisao de acabamento do proprietario, e a mesma peca varia 3x de preco entre linhas</t>
        </is>
      </c>
      <c r="I135" s="18" t="inlineStr">
        <is>
          <t>sim</t>
        </is>
      </c>
    </row>
    <row r="136">
      <c r="A136" s="9" t="inlineStr">
        <is>
          <t>REV-ARG</t>
        </is>
      </c>
      <c r="B136" s="10" t="inlineStr">
        <is>
          <t>revestimento</t>
        </is>
      </c>
      <c r="C136" s="11" t="inlineStr">
        <is>
          <t>Argamassa colante AC-III e regularizacao</t>
        </is>
      </c>
      <c r="D136" s="10" t="inlineStr">
        <is>
          <t>m2</t>
        </is>
      </c>
      <c r="E136" s="14" t="n">
        <v>521.8</v>
      </c>
      <c r="F136" s="11" t="inlineStr">
        <is>
          <t>revestimento ceramico conforme quadro de acabamentos por ambiente; area ja com 10 % de perda de corte e quebra</t>
        </is>
      </c>
      <c r="G136" s="11" t="inlineStr">
        <is>
          <t>NBR 13818, NBR 15463</t>
        </is>
      </c>
      <c r="H136" s="11" t="inlineStr">
        <is>
          <t>linha, formato e PEI: o modelo define o TIPO por ambiente, a linha e escolha de acabamento</t>
        </is>
      </c>
      <c r="I136" s="18" t="inlineStr">
        <is>
          <t>sim</t>
        </is>
      </c>
    </row>
    <row r="137">
      <c r="A137" s="9" t="inlineStr">
        <is>
          <t>FV-INVERSOR</t>
        </is>
      </c>
      <c r="B137" s="10" t="inlineStr">
        <is>
          <t>eletrica</t>
        </is>
      </c>
      <c r="C137" s="11" t="inlineStr">
        <is>
          <t>Inversor string 15 kW, trifasico 220 V</t>
        </is>
      </c>
      <c r="D137" s="10" t="inlineStr">
        <is>
          <t>kW</t>
        </is>
      </c>
      <c r="E137" s="14" t="n">
        <v>15</v>
      </c>
      <c r="F137" s="11" t="inlineStr">
        <is>
          <t>sistema fotovoltaico conectado a rede (on-grid), microgeracao REN ANEEL 1.000/2021; modulos monocristalinos, inversor string trifasico com monitoramento</t>
        </is>
      </c>
      <c r="G137" s="11" t="inlineStr">
        <is>
          <t>NBR 16274, NBR 16690, Portaria INMETRO 140/2022</t>
        </is>
      </c>
      <c r="H137" s="11" t="inlineStr">
        <is>
          <t>marca e modelo de modulo e inversor; a potencia e a area estao dimensionadas, o produto e cotacao</t>
        </is>
      </c>
      <c r="I137" s="18" t="inlineStr">
        <is>
          <t>sim</t>
        </is>
      </c>
    </row>
    <row r="138">
      <c r="A138" s="9" t="inlineStr">
        <is>
          <t>MAR-PRAT</t>
        </is>
      </c>
      <c r="B138" s="10" t="inlineStr">
        <is>
          <t>marcenaria</t>
        </is>
      </c>
      <c r="C138" s="11" t="inlineStr">
        <is>
          <t>Prateleira aberta, por metro de prateleira</t>
        </is>
      </c>
      <c r="D138" s="10" t="inlineStr">
        <is>
          <t>m</t>
        </is>
      </c>
      <c r="E138" s="14" t="n">
        <v>35.19</v>
      </c>
      <c r="F138" s="11" t="inlineStr">
        <is>
          <t>marcenaria sob medida conforme planta de layout; MDF 18 mm com acabamento em laminado ou pintura PU; ferragem com amortecedor</t>
        </is>
      </c>
      <c r="G138" s="11" t="inlineStr"/>
      <c r="H138" s="11" t="inlineStr">
        <is>
          <t>desenho executivo de marcenaria: a planta da a extensao e a profundidade, nao o interior do movel</t>
        </is>
      </c>
      <c r="I138" s="18" t="inlineStr">
        <is>
          <t>sim</t>
        </is>
      </c>
    </row>
    <row r="139">
      <c r="A139" s="9" t="inlineStr">
        <is>
          <t>FV-INSTAL</t>
        </is>
      </c>
      <c r="B139" s="10" t="inlineStr">
        <is>
          <t>eletrica</t>
        </is>
      </c>
      <c r="C139" s="11" t="inlineStr">
        <is>
          <t>Instalacao e comissionamento</t>
        </is>
      </c>
      <c r="D139" s="10" t="inlineStr">
        <is>
          <t>kWp</t>
        </is>
      </c>
      <c r="E139" s="14" t="n">
        <v>16.5</v>
      </c>
      <c r="F139" s="11" t="inlineStr">
        <is>
          <t>sistema fotovoltaico conectado a rede (on-grid), microgeracao REN ANEEL 1.000/2021; modulos monocristalinos, inversor string trifasico com monitoramento</t>
        </is>
      </c>
      <c r="G139" s="11" t="inlineStr">
        <is>
          <t>NBR 16274, NBR 16690, Portaria INMETRO 140/2022</t>
        </is>
      </c>
      <c r="H139" s="11" t="inlineStr">
        <is>
          <t>marca e modelo de modulo e inversor; a potencia e a area estao dimensionadas, o produto e cotacao</t>
        </is>
      </c>
      <c r="I139" s="18" t="inlineStr">
        <is>
          <t>sim</t>
        </is>
      </c>
    </row>
    <row r="140">
      <c r="A140" s="9" t="inlineStr">
        <is>
          <t>MAR-TAMPO</t>
        </is>
      </c>
      <c r="B140" s="10" t="inlineStr">
        <is>
          <t>marcenaria</t>
        </is>
      </c>
      <c r="C140" s="11" t="inlineStr">
        <is>
          <t>Tampo de bancada (quartzo/granito)</t>
        </is>
      </c>
      <c r="D140" s="10" t="inlineStr">
        <is>
          <t>m2</t>
        </is>
      </c>
      <c r="E140" s="14" t="n">
        <v>6.84</v>
      </c>
      <c r="F140" s="11" t="inlineStr">
        <is>
          <t>marcenaria sob medida conforme planta de layout; MDF 18 mm com acabamento em laminado ou pintura PU; ferragem com amortecedor</t>
        </is>
      </c>
      <c r="G140" s="11" t="inlineStr"/>
      <c r="H140" s="11" t="inlineStr">
        <is>
          <t>desenho executivo de marcenaria: a planta da a extensao e a profundidade, nao o interior do movel</t>
        </is>
      </c>
      <c r="I140" s="18" t="inlineStr">
        <is>
          <t>sim</t>
        </is>
      </c>
    </row>
    <row r="141">
      <c r="A141" s="9" t="inlineStr">
        <is>
          <t>FV-ESTRUTURA</t>
        </is>
      </c>
      <c r="B141" s="10" t="inlineStr">
        <is>
          <t>eletrica</t>
        </is>
      </c>
      <c r="C141" s="11" t="inlineStr">
        <is>
          <t>Estrutura de fixacao em aluminio sobre terca</t>
        </is>
      </c>
      <c r="D141" s="10" t="inlineStr">
        <is>
          <t>m2</t>
        </is>
      </c>
      <c r="E141" s="14" t="n">
        <v>89.09999999999999</v>
      </c>
      <c r="F141" s="11" t="inlineStr">
        <is>
          <t>sistema fotovoltaico conectado a rede (on-grid), microgeracao REN ANEEL 1.000/2021; modulos monocristalinos, inversor string trifasico com monitoramento</t>
        </is>
      </c>
      <c r="G141" s="11" t="inlineStr">
        <is>
          <t>NBR 16274, NBR 16690, Portaria INMETRO 140/2022</t>
        </is>
      </c>
      <c r="H141" s="11" t="inlineStr">
        <is>
          <t>marca e modelo de modulo e inversor; a potencia e a area estao dimensionadas, o produto e cotacao</t>
        </is>
      </c>
      <c r="I141" s="18" t="inlineStr">
        <is>
          <t>sim</t>
        </is>
      </c>
    </row>
    <row r="142">
      <c r="A142" s="9" t="inlineStr">
        <is>
          <t>REV-RODAPE</t>
        </is>
      </c>
      <c r="B142" s="10" t="inlineStr">
        <is>
          <t>revestimento</t>
        </is>
      </c>
      <c r="C142" s="11" t="inlineStr">
        <is>
          <t>Rodape (poliestireno 100 mm, pintado)</t>
        </is>
      </c>
      <c r="D142" s="10" t="inlineStr">
        <is>
          <t>m</t>
        </is>
      </c>
      <c r="E142" s="14" t="n">
        <v>241.9</v>
      </c>
      <c r="F142" s="11" t="inlineStr">
        <is>
          <t>revestimento ceramico conforme quadro de acabamentos por ambiente; area ja com 10 % de perda de corte e quebra</t>
        </is>
      </c>
      <c r="G142" s="11" t="inlineStr">
        <is>
          <t>NBR 13818, NBR 15463</t>
        </is>
      </c>
      <c r="H142" s="11" t="inlineStr">
        <is>
          <t>linha, formato e PEI: o modelo define o TIPO por ambiente, a linha e escolha de acabamento</t>
        </is>
      </c>
      <c r="I142" s="18" t="inlineStr">
        <is>
          <t>sim</t>
        </is>
      </c>
    </row>
    <row r="143">
      <c r="A143" s="9" t="inlineStr">
        <is>
          <t>PIN-TINTA</t>
        </is>
      </c>
      <c r="B143" s="10" t="inlineStr">
        <is>
          <t>pintura</t>
        </is>
      </c>
      <c r="C143" s="11" t="inlineStr">
        <is>
          <t>Tinta latex (2 demaos, rendimento 10 m2/L)</t>
        </is>
      </c>
      <c r="D143" s="10" t="inlineStr">
        <is>
          <t>L</t>
        </is>
      </c>
      <c r="E143" s="14" t="n">
        <v>193.7</v>
      </c>
      <c r="F143" s="11" t="inlineStr">
        <is>
          <t>tinta e mao de obra conforme especificacao de acabamento; 2 demaos sobre selador; rendimento declarado na quantidade</t>
        </is>
      </c>
      <c r="G143" s="11" t="inlineStr">
        <is>
          <t>NBR 11702, NBR 13245</t>
        </is>
      </c>
      <c r="H143" s="11" t="inlineStr"/>
      <c r="I143" s="18" t="inlineStr">
        <is>
          <t>sim</t>
        </is>
      </c>
    </row>
    <row r="144">
      <c r="A144" s="9" t="inlineStr">
        <is>
          <t>MAR-CABEC</t>
        </is>
      </c>
      <c r="B144" s="10" t="inlineStr">
        <is>
          <t>marcenaria</t>
        </is>
      </c>
      <c r="C144" s="11" t="inlineStr">
        <is>
          <t>Cabeceira estofada</t>
        </is>
      </c>
      <c r="D144" s="10" t="inlineStr">
        <is>
          <t>m2</t>
        </is>
      </c>
      <c r="E144" s="14" t="n">
        <v>10.96</v>
      </c>
      <c r="F144" s="11" t="inlineStr">
        <is>
          <t>marcenaria sob medida conforme planta de layout; MDF 18 mm com acabamento em laminado ou pintura PU; ferragem com amortecedor</t>
        </is>
      </c>
      <c r="G144" s="11" t="inlineStr"/>
      <c r="H144" s="11" t="inlineStr">
        <is>
          <t>desenho executivo de marcenaria: a planta da a extensao e a profundidade, nao o interior do movel</t>
        </is>
      </c>
      <c r="I144" s="18" t="inlineStr">
        <is>
          <t>sim</t>
        </is>
      </c>
    </row>
    <row r="145">
      <c r="A145" s="9" t="inlineStr">
        <is>
          <t>PIN-FORRO</t>
        </is>
      </c>
      <c r="B145" s="10" t="inlineStr">
        <is>
          <t>pintura</t>
        </is>
      </c>
      <c r="C145" s="11" t="inlineStr">
        <is>
          <t>Pintura de forro (latex PVA fosco)</t>
        </is>
      </c>
      <c r="D145" s="10" t="inlineStr">
        <is>
          <t>m2</t>
        </is>
      </c>
      <c r="E145" s="14" t="n">
        <v>266.8</v>
      </c>
      <c r="F145" s="11" t="inlineStr">
        <is>
          <t>tinta e mao de obra conforme especificacao de acabamento; 2 demaos sobre selador; rendimento declarado na quantidade</t>
        </is>
      </c>
      <c r="G145" s="11" t="inlineStr">
        <is>
          <t>NBR 11702, NBR 13245</t>
        </is>
      </c>
      <c r="H145" s="11" t="inlineStr"/>
      <c r="I145" s="18" t="inlineStr">
        <is>
          <t>sim</t>
        </is>
      </c>
    </row>
    <row r="146">
      <c r="A146" s="9" t="inlineStr">
        <is>
          <t>EQP-SPLIT9</t>
        </is>
      </c>
      <c r="B146" s="10" t="inlineStr">
        <is>
          <t>equipamentos</t>
        </is>
      </c>
      <c r="C146" s="11" t="inlineStr">
        <is>
          <t>Split inverter 9.000 BTU/h</t>
        </is>
      </c>
      <c r="D146" s="10" t="inlineStr">
        <is>
          <t>un</t>
        </is>
      </c>
      <c r="E146" s="14" t="n">
        <v>3</v>
      </c>
      <c r="F146" s="11" t="inlineStr">
        <is>
          <t>equipamento novo, com garantia de fabrica e instalacao por credenciado; inverter, ciclo frio, R-32 ou R-410A, classe A</t>
        </is>
      </c>
      <c r="G146" s="11" t="inlineStr">
        <is>
          <t>NBR 16401, Portaria INMETRO de eficiencia</t>
        </is>
      </c>
      <c r="H146" s="11" t="inlineStr">
        <is>
          <t>marca e modelo: a capacidade esta dimensionada, a escolha do equipamento e do proprietario</t>
        </is>
      </c>
      <c r="I146" s="18" t="inlineStr">
        <is>
          <t>sim</t>
        </is>
      </c>
    </row>
    <row r="147">
      <c r="A147" s="9" t="inlineStr">
        <is>
          <t>LUM-DOWNLIGHT18</t>
        </is>
      </c>
      <c r="B147" s="10" t="inlineStr">
        <is>
          <t>eletrica</t>
        </is>
      </c>
      <c r="C147" s="11" t="inlineStr">
        <is>
          <t>Downlight LED embutido 18 W</t>
        </is>
      </c>
      <c r="D147" s="10" t="inlineStr">
        <is>
          <t>un</t>
        </is>
      </c>
      <c r="E147" s="14" t="n">
        <v>45</v>
      </c>
      <c r="F147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7" s="11" t="inlineStr">
        <is>
          <t>NBR ISO/CIE 8995-1, Portaria INMETRO 20/2017 (LED)</t>
        </is>
      </c>
      <c r="H147" s="11" t="inlineStr">
        <is>
          <t>marca e modelo: o fluxo e a potencia de cada tipo estao declarados; o produto e escolha de acabamento</t>
        </is>
      </c>
      <c r="I147" s="18" t="inlineStr">
        <is>
          <t>sim</t>
        </is>
      </c>
    </row>
    <row r="148">
      <c r="A148" s="9" t="inlineStr">
        <is>
          <t>SPD-CAPTOR</t>
        </is>
      </c>
      <c r="B148" s="10" t="inlineStr">
        <is>
          <t>eletrica</t>
        </is>
      </c>
      <c r="C148" s="11" t="inlineStr">
        <is>
          <t>Captor: cabo de aluminio 70 mm2 no perimetro da cobertura</t>
        </is>
      </c>
      <c r="D148" s="10" t="inlineStr">
        <is>
          <t>m</t>
        </is>
      </c>
      <c r="E148" s="14" t="n">
        <v>147</v>
      </c>
      <c r="F148" s="11" t="inlineStr">
        <is>
          <t>SPDA conforme NBR 5419-3, classe IV: captor em anel no perimetro da cobertura, descidas naturais pela estrutura de aco com continuidade ensaiada, anel de aterramento no radier</t>
        </is>
      </c>
      <c r="G148" s="11" t="inlineStr">
        <is>
          <t>NBR 5410, NBR 5419-3, NBR 5419-4</t>
        </is>
      </c>
      <c r="H148" s="11" t="inlineStr">
        <is>
          <t>laudo de continuidade eletrica da estrutura e medicao de resistencia de aterramento apos a execucao</t>
        </is>
      </c>
      <c r="I148" s="18" t="inlineStr">
        <is>
          <t>sim</t>
        </is>
      </c>
    </row>
    <row r="149">
      <c r="A149" s="9" t="inlineStr">
        <is>
          <t>EQP-SPLIT30</t>
        </is>
      </c>
      <c r="B149" s="10" t="inlineStr">
        <is>
          <t>equipamentos</t>
        </is>
      </c>
      <c r="C149" s="11" t="inlineStr">
        <is>
          <t>Split inverter 30.000 BTU/h</t>
        </is>
      </c>
      <c r="D149" s="10" t="inlineStr">
        <is>
          <t>un</t>
        </is>
      </c>
      <c r="E149" s="14" t="n">
        <v>1</v>
      </c>
      <c r="F149" s="11" t="inlineStr">
        <is>
          <t>equipamento novo, com garantia de fabrica e instalacao por credenciado; inverter, ciclo frio, R-32 ou R-410A, classe A</t>
        </is>
      </c>
      <c r="G149" s="11" t="inlineStr">
        <is>
          <t>NBR 16401, Portaria INMETRO de eficiencia</t>
        </is>
      </c>
      <c r="H149" s="11" t="inlineStr">
        <is>
          <t>marca e modelo: a capacidade esta dimensionada, a escolha do equipamento e do proprietario</t>
        </is>
      </c>
      <c r="I149" s="18" t="inlineStr">
        <is>
          <t>sim</t>
        </is>
      </c>
    </row>
    <row r="150">
      <c r="A150" s="9" t="inlineStr">
        <is>
          <t>LUM-DOWNLIGHT24</t>
        </is>
      </c>
      <c r="B150" s="10" t="inlineStr">
        <is>
          <t>eletrica</t>
        </is>
      </c>
      <c r="C150" s="11" t="inlineStr">
        <is>
          <t>Downlight LED embutido 24 W</t>
        </is>
      </c>
      <c r="D150" s="10" t="inlineStr">
        <is>
          <t>un</t>
        </is>
      </c>
      <c r="E150" s="14" t="n">
        <v>31</v>
      </c>
      <c r="F150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50" s="11" t="inlineStr">
        <is>
          <t>NBR ISO/CIE 8995-1, Portaria INMETRO 20/2017 (LED)</t>
        </is>
      </c>
      <c r="H150" s="11" t="inlineStr">
        <is>
          <t>marca e modelo: o fluxo e a potencia de cada tipo estao declarados; o produto e escolha de acabamento</t>
        </is>
      </c>
      <c r="I150" s="18" t="inlineStr">
        <is>
          <t>sim</t>
        </is>
      </c>
    </row>
    <row r="151">
      <c r="A151" s="9" t="inlineStr">
        <is>
          <t>MAR-CORT</t>
        </is>
      </c>
      <c r="B151" s="10" t="inlineStr">
        <is>
          <t>marcenaria</t>
        </is>
      </c>
      <c r="C151" s="11" t="inlineStr">
        <is>
          <t>Cortina blackout com trilho, dormitorios</t>
        </is>
      </c>
      <c r="D151" s="10" t="inlineStr">
        <is>
          <t>m</t>
        </is>
      </c>
      <c r="E151" s="14" t="n">
        <v>13.2</v>
      </c>
      <c r="F151" s="11" t="inlineStr">
        <is>
          <t>marcenaria sob medida conforme planta de layout; MDF 18 mm com acabamento em laminado ou pintura PU; ferragem com amortecedor</t>
        </is>
      </c>
      <c r="G151" s="11" t="inlineStr"/>
      <c r="H151" s="11" t="inlineStr">
        <is>
          <t>desenho executivo de marcenaria: a planta da a extensao e a profundidade, nao o interior do movel</t>
        </is>
      </c>
      <c r="I151" s="18" t="inlineStr">
        <is>
          <t>sim</t>
        </is>
      </c>
    </row>
    <row r="152">
      <c r="A152" s="9" t="inlineStr">
        <is>
          <t>REV-REJ</t>
        </is>
      </c>
      <c r="B152" s="10" t="inlineStr">
        <is>
          <t>revestimento</t>
        </is>
      </c>
      <c r="C152" s="11" t="inlineStr">
        <is>
          <t>Rejunte epoxi/acrilico</t>
        </is>
      </c>
      <c r="D152" s="10" t="inlineStr">
        <is>
          <t>m2</t>
        </is>
      </c>
      <c r="E152" s="14" t="n">
        <v>521.8</v>
      </c>
      <c r="F152" s="11" t="inlineStr">
        <is>
          <t>revestimento ceramico conforme quadro de acabamentos por ambiente; area ja com 10 % de perda de corte e quebra</t>
        </is>
      </c>
      <c r="G152" s="11" t="inlineStr">
        <is>
          <t>NBR 13818, NBR 15463</t>
        </is>
      </c>
      <c r="H152" s="11" t="inlineStr">
        <is>
          <t>linha, formato e PEI: o modelo define o TIPO por ambiente, a linha e escolha de acabamento</t>
        </is>
      </c>
      <c r="I152" s="18" t="inlineStr">
        <is>
          <t>sim</t>
        </is>
      </c>
    </row>
    <row r="153">
      <c r="A153" s="9" t="inlineStr">
        <is>
          <t>LOU-VASO</t>
        </is>
      </c>
      <c r="B153" s="10" t="inlineStr">
        <is>
          <t>loucas</t>
        </is>
      </c>
      <c r="C153" s="11" t="inlineStr">
        <is>
          <t>Bacia sanitaria com caixa acoplada</t>
        </is>
      </c>
      <c r="D153" s="10" t="inlineStr">
        <is>
          <t>un</t>
        </is>
      </c>
      <c r="E153" s="14" t="n">
        <v>5</v>
      </c>
      <c r="F153" s="11" t="inlineStr">
        <is>
          <t>louca / metal sanitario de linha comercial, cor branca para louca e acabamento cromado para metal; quantidade contada das pecas LOCADAS em planta, nao estimada por comodo</t>
        </is>
      </c>
      <c r="G153" s="11" t="inlineStr">
        <is>
          <t>NBR 15097, NBR 15705</t>
        </is>
      </c>
      <c r="H153" s="11" t="inlineStr">
        <is>
          <t>linha e fabricante: louca e metal sao decisao de acabamento do proprietario, e a mesma peca varia 3x de preco entre linhas</t>
        </is>
      </c>
      <c r="I153" s="18" t="inlineStr">
        <is>
          <t>sim</t>
        </is>
      </c>
    </row>
    <row r="154">
      <c r="A154" s="9" t="inlineStr">
        <is>
          <t>LUM-LINEAR</t>
        </is>
      </c>
      <c r="B154" s="10" t="inlineStr">
        <is>
          <t>eletrica</t>
        </is>
      </c>
      <c r="C154" s="11" t="inlineStr">
        <is>
          <t>Perfil linear LED 18 W/m com difusor (tarefa)</t>
        </is>
      </c>
      <c r="D154" s="10" t="inlineStr">
        <is>
          <t>m</t>
        </is>
      </c>
      <c r="E154" s="14" t="n">
        <v>15.6</v>
      </c>
      <c r="F154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54" s="11" t="inlineStr">
        <is>
          <t>NBR ISO/CIE 8995-1, Portaria INMETRO 20/2017 (LED)</t>
        </is>
      </c>
      <c r="H154" s="11" t="inlineStr">
        <is>
          <t>marca e modelo: o fluxo e a potencia de cada tipo estao declarados; o produto e escolha de acabamento</t>
        </is>
      </c>
      <c r="I154" s="18" t="inlineStr">
        <is>
          <t>sim</t>
        </is>
      </c>
    </row>
    <row r="155">
      <c r="A155" s="9" t="inlineStr">
        <is>
          <t>MET-TORN</t>
        </is>
      </c>
      <c r="B155" s="10" t="inlineStr">
        <is>
          <t>loucas</t>
        </is>
      </c>
      <c r="C155" s="11" t="inlineStr">
        <is>
          <t>Torneira de bancada (lavatorio e cuba)</t>
        </is>
      </c>
      <c r="D155" s="10" t="inlineStr">
        <is>
          <t>un</t>
        </is>
      </c>
      <c r="E155" s="14" t="n">
        <v>9</v>
      </c>
      <c r="F155" s="11" t="inlineStr">
        <is>
          <t>louca / metal sanitario de linha comercial, cor branca para louca e acabamento cromado para metal; quantidade contada das pecas LOCADAS em planta, nao estimada por comodo</t>
        </is>
      </c>
      <c r="G155" s="11" t="inlineStr">
        <is>
          <t>NBR 15097, NBR 15705</t>
        </is>
      </c>
      <c r="H155" s="11" t="inlineStr">
        <is>
          <t>linha e fabricante: louca e metal sao decisao de acabamento do proprietario, e a mesma peca varia 3x de preco entre linhas</t>
        </is>
      </c>
      <c r="I155" s="18" t="inlineStr">
        <is>
          <t>sim</t>
        </is>
      </c>
    </row>
    <row r="156">
      <c r="A156" s="9" t="inlineStr">
        <is>
          <t>SPD-ANEL</t>
        </is>
      </c>
      <c r="B156" s="10" t="inlineStr">
        <is>
          <t>eletrica</t>
        </is>
      </c>
      <c r="C156" s="11" t="inlineStr">
        <is>
          <t>Anel de aterramento: cobre nu 50 mm2 no perimetro do radier</t>
        </is>
      </c>
      <c r="D156" s="10" t="inlineStr">
        <is>
          <t>m</t>
        </is>
      </c>
      <c r="E156" s="14" t="n">
        <v>63.6</v>
      </c>
      <c r="F156" s="11" t="inlineStr">
        <is>
          <t>SPDA conforme NBR 5419-3, classe IV: captor em anel no perimetro da cobertura, descidas naturais pela estrutura de aco com continuidade ensaiada, anel de aterramento no radier</t>
        </is>
      </c>
      <c r="G156" s="11" t="inlineStr">
        <is>
          <t>NBR 5410, NBR 5419-3, NBR 5419-4</t>
        </is>
      </c>
      <c r="H156" s="11" t="inlineStr">
        <is>
          <t>laudo de continuidade eletrica da estrutura e medicao de resistencia de aterramento apos a execucao</t>
        </is>
      </c>
      <c r="I156" s="18" t="inlineStr">
        <is>
          <t>sim</t>
        </is>
      </c>
    </row>
    <row r="157">
      <c r="A157" s="9" t="inlineStr">
        <is>
          <t>REV-FORRO-ACUST</t>
        </is>
      </c>
      <c r="B157" s="10" t="inlineStr">
        <is>
          <t>revestimento</t>
        </is>
      </c>
      <c r="C157" s="11" t="inlineStr">
        <is>
          <t>Forro absorvente perfurado (alfa 0,70), acabado de fabrica</t>
        </is>
      </c>
      <c r="D157" s="10" t="inlineStr">
        <is>
          <t>m2</t>
        </is>
      </c>
      <c r="E157" s="14" t="n">
        <v>30.2</v>
      </c>
      <c r="F157" s="11" t="inlineStr">
        <is>
          <t>revestimento ceramico conforme quadro de acabamentos por ambiente; area ja com 10 % de perda de corte e quebra</t>
        </is>
      </c>
      <c r="G157" s="11" t="inlineStr">
        <is>
          <t>NBR 13818, NBR 15463</t>
        </is>
      </c>
      <c r="H157" s="11" t="inlineStr">
        <is>
          <t>linha, formato e PEI: o modelo define o TIPO por ambiente, a linha e escolha de acabamento</t>
        </is>
      </c>
      <c r="I157" s="18" t="inlineStr">
        <is>
          <t>sim</t>
        </is>
      </c>
    </row>
    <row r="158">
      <c r="A158" s="9" t="inlineStr">
        <is>
          <t>MAR-PAINEL</t>
        </is>
      </c>
      <c r="B158" s="10" t="inlineStr">
        <is>
          <t>marcenaria</t>
        </is>
      </c>
      <c r="C158" s="11" t="inlineStr">
        <is>
          <t>Painel ripado de TV</t>
        </is>
      </c>
      <c r="D158" s="10" t="inlineStr">
        <is>
          <t>m2</t>
        </is>
      </c>
      <c r="E158" s="14" t="n">
        <v>6.71</v>
      </c>
      <c r="F158" s="11" t="inlineStr">
        <is>
          <t>marcenaria sob medida conforme planta de layout; MDF 18 mm com acabamento em laminado ou pintura PU; ferragem com amortecedor</t>
        </is>
      </c>
      <c r="G158" s="11" t="inlineStr"/>
      <c r="H158" s="11" t="inlineStr">
        <is>
          <t>desenho executivo de marcenaria: a planta da a extensao e a profundidade, nao o interior do movel</t>
        </is>
      </c>
      <c r="I158" s="18" t="inlineStr">
        <is>
          <t>sim</t>
        </is>
      </c>
    </row>
    <row r="159">
      <c r="A159" s="9" t="inlineStr">
        <is>
          <t>EQP-PISC</t>
        </is>
      </c>
      <c r="B159" s="10" t="inlineStr">
        <is>
          <t>equipamentos</t>
        </is>
      </c>
      <c r="C159" s="11" t="inlineStr">
        <is>
          <t>Conjunto da piscina: bomba, filtro e tratamento</t>
        </is>
      </c>
      <c r="D159" s="10" t="inlineStr">
        <is>
          <t>cj</t>
        </is>
      </c>
      <c r="E159" s="14" t="n">
        <v>1</v>
      </c>
      <c r="F159" s="11" t="inlineStr">
        <is>
          <t>equipamento novo, com garantia de fabrica e instalacao por credenciado</t>
        </is>
      </c>
      <c r="G159" s="11" t="inlineStr"/>
      <c r="H159" s="11" t="inlineStr">
        <is>
          <t>marca e modelo: a capacidade esta dimensionada, a escolha do equipamento e do proprietario</t>
        </is>
      </c>
      <c r="I159" s="18" t="inlineStr">
        <is>
          <t>sim</t>
        </is>
      </c>
    </row>
    <row r="160">
      <c r="A160" s="9" t="inlineStr">
        <is>
          <t>LOU-LAV</t>
        </is>
      </c>
      <c r="B160" s="10" t="inlineStr">
        <is>
          <t>loucas</t>
        </is>
      </c>
      <c r="C160" s="11" t="inlineStr">
        <is>
          <t>Lavatorio / cuba de banheiro</t>
        </is>
      </c>
      <c r="D160" s="10" t="inlineStr">
        <is>
          <t>un</t>
        </is>
      </c>
      <c r="E160" s="14" t="n">
        <v>6</v>
      </c>
      <c r="F160" s="11" t="inlineStr">
        <is>
          <t>louca / metal sanitario de linha comercial, cor branca para louca e acabamento cromado para metal; quantidade contada das pecas LOCADAS em planta, nao estimada por comodo</t>
        </is>
      </c>
      <c r="G160" s="11" t="inlineStr">
        <is>
          <t>NBR 15097, NBR 15705</t>
        </is>
      </c>
      <c r="H160" s="11" t="inlineStr">
        <is>
          <t>linha e fabricante: louca e metal sao decisao de acabamento do proprietario, e a mesma peca varia 3x de preco entre linhas</t>
        </is>
      </c>
      <c r="I160" s="18" t="inlineStr">
        <is>
          <t>sim</t>
        </is>
      </c>
    </row>
    <row r="161">
      <c r="A161" s="9" t="inlineStr">
        <is>
          <t>ELE-TUG</t>
        </is>
      </c>
      <c r="B161" s="10" t="inlineStr">
        <is>
          <t>eletrica</t>
        </is>
      </c>
      <c r="C161" s="11" t="inlineStr">
        <is>
          <t>Tomada 2P+T 10 A com placa</t>
        </is>
      </c>
      <c r="D161" s="10" t="inlineStr">
        <is>
          <t>un</t>
        </is>
      </c>
      <c r="E161" s="14" t="n">
        <v>87</v>
      </c>
      <c r="F161" s="11" t="inlineStr">
        <is>
          <t>dispositivo de embutir em caixa 4x2 / 4x4, linha unica em toda a casa; tensao 127 V para TUG e 220 V para TUE, conforme esquema declarado no projeto</t>
        </is>
      </c>
      <c r="G161" s="11" t="inlineStr">
        <is>
          <t>NBR 14136, NBR 5410</t>
        </is>
      </c>
      <c r="H161" s="11" t="inlineStr"/>
      <c r="I161" s="18" t="inlineStr">
        <is>
          <t>sim</t>
        </is>
      </c>
    </row>
    <row r="162">
      <c r="A162" s="9" t="inlineStr">
        <is>
          <t>EQP-PORTAO</t>
        </is>
      </c>
      <c r="B162" s="10" t="inlineStr">
        <is>
          <t>equipamentos</t>
        </is>
      </c>
      <c r="C162" s="11" t="inlineStr">
        <is>
          <t>Automatizador de portao de correr</t>
        </is>
      </c>
      <c r="D162" s="10" t="inlineStr">
        <is>
          <t>un</t>
        </is>
      </c>
      <c r="E162" s="14" t="n">
        <v>1</v>
      </c>
      <c r="F162" s="11" t="inlineStr">
        <is>
          <t>equipamento novo, com garantia de fabrica e instalacao por credenciado</t>
        </is>
      </c>
      <c r="G162" s="11" t="inlineStr"/>
      <c r="H162" s="11" t="inlineStr">
        <is>
          <t>marca e modelo: a capacidade esta dimensionada, a escolha do equipamento e do proprietario</t>
        </is>
      </c>
      <c r="I162" s="18" t="inlineStr">
        <is>
          <t>sim</t>
        </is>
      </c>
    </row>
    <row r="163">
      <c r="A163" s="9" t="inlineStr">
        <is>
          <t>MET-ACESS</t>
        </is>
      </c>
      <c r="B163" s="10" t="inlineStr">
        <is>
          <t>loucas</t>
        </is>
      </c>
      <c r="C163" s="11" t="inlineStr">
        <is>
          <t>Acessorios (papeleira, cabide, saboneteira, toalheiro)</t>
        </is>
      </c>
      <c r="D163" s="10" t="inlineStr">
        <is>
          <t>un</t>
        </is>
      </c>
      <c r="E163" s="14" t="n">
        <v>28</v>
      </c>
      <c r="F163" s="11" t="inlineStr">
        <is>
          <t>louca / metal sanitario de linha comercial, cor branca para louca e acabamento cromado para metal; quantidade contada das pecas LOCADAS em planta, nao estimada por comodo</t>
        </is>
      </c>
      <c r="G163" s="11" t="inlineStr">
        <is>
          <t>NBR 15097, NBR 15705</t>
        </is>
      </c>
      <c r="H163" s="11" t="inlineStr">
        <is>
          <t>linha e fabricante: louca e metal sao decisao de acabamento do proprietario, e a mesma peca varia 3x de preco entre linhas</t>
        </is>
      </c>
      <c r="I163" s="18" t="inlineStr">
        <is>
          <t>sim</t>
        </is>
      </c>
    </row>
    <row r="164">
      <c r="A164" s="9" t="inlineStr">
        <is>
          <t>PIN-SELADOR</t>
        </is>
      </c>
      <c r="B164" s="10" t="inlineStr">
        <is>
          <t>pintura</t>
        </is>
      </c>
      <c r="C164" s="11" t="inlineStr">
        <is>
          <t>Selador acrilico</t>
        </is>
      </c>
      <c r="D164" s="10" t="inlineStr">
        <is>
          <t>L</t>
        </is>
      </c>
      <c r="E164" s="14" t="n">
        <v>80.7</v>
      </c>
      <c r="F164" s="11" t="inlineStr">
        <is>
          <t>tinta e mao de obra conforme especificacao de acabamento; 2 demaos sobre selador; rendimento declarado na quantidade</t>
        </is>
      </c>
      <c r="G164" s="11" t="inlineStr">
        <is>
          <t>NBR 11702, NBR 13245</t>
        </is>
      </c>
      <c r="H164" s="11" t="inlineStr"/>
      <c r="I164" s="18" t="inlineStr">
        <is>
          <t>sim</t>
        </is>
      </c>
    </row>
    <row r="165">
      <c r="A165" s="9" t="inlineStr">
        <is>
          <t>LOU-CUBA</t>
        </is>
      </c>
      <c r="B165" s="10" t="inlineStr">
        <is>
          <t>loucas</t>
        </is>
      </c>
      <c r="C165" s="11" t="inlineStr">
        <is>
          <t>Cuba de cozinha / gourmet / lavanderia em inox</t>
        </is>
      </c>
      <c r="D165" s="10" t="inlineStr">
        <is>
          <t>un</t>
        </is>
      </c>
      <c r="E165" s="14" t="n">
        <v>3</v>
      </c>
      <c r="F165" s="11" t="inlineStr">
        <is>
          <t>louca / metal sanitario de linha comercial, cor branca para louca e acabamento cromado para metal; quantidade contada das pecas LOCADAS em planta, nao estimada por comodo</t>
        </is>
      </c>
      <c r="G165" s="11" t="inlineStr">
        <is>
          <t>NBR 15097, NBR 15705</t>
        </is>
      </c>
      <c r="H165" s="11" t="inlineStr">
        <is>
          <t>linha e fabricante: louca e metal sao decisao de acabamento do proprietario, e a mesma peca varia 3x de preco entre linhas</t>
        </is>
      </c>
      <c r="I165" s="18" t="inlineStr">
        <is>
          <t>sim</t>
        </is>
      </c>
    </row>
    <row r="166">
      <c r="A166" s="9" t="inlineStr">
        <is>
          <t>EQP-EXAUST</t>
        </is>
      </c>
      <c r="B166" s="10" t="inlineStr">
        <is>
          <t>equipamentos</t>
        </is>
      </c>
      <c r="C166" s="11" t="inlineStr">
        <is>
          <t>Exaustor / coifa</t>
        </is>
      </c>
      <c r="D166" s="10" t="inlineStr">
        <is>
          <t>un</t>
        </is>
      </c>
      <c r="E166" s="14" t="n">
        <v>7</v>
      </c>
      <c r="F166" s="11" t="inlineStr">
        <is>
          <t>equipamento novo, com garantia de fabrica e instalacao por credenciado</t>
        </is>
      </c>
      <c r="G166" s="11" t="inlineStr"/>
      <c r="H166" s="11" t="inlineStr">
        <is>
          <t>marca e modelo: a capacidade esta dimensionada, a escolha do equipamento e do proprietario</t>
        </is>
      </c>
      <c r="I166" s="18" t="inlineStr">
        <is>
          <t>sim</t>
        </is>
      </c>
    </row>
    <row r="167">
      <c r="A167" s="9" t="inlineStr">
        <is>
          <t>FV-HOMOLOG</t>
        </is>
      </c>
      <c r="B167" s="10" t="inlineStr">
        <is>
          <t>eletrica</t>
        </is>
      </c>
      <c r="C167" s="11" t="inlineStr">
        <is>
          <t>Projeto e homologacao na concessionaria (REN 1.000)</t>
        </is>
      </c>
      <c r="D167" s="10" t="inlineStr">
        <is>
          <t>un</t>
        </is>
      </c>
      <c r="E167" s="14" t="n">
        <v>1</v>
      </c>
      <c r="F167" s="11" t="inlineStr">
        <is>
          <t>sistema fotovoltaico conectado a rede (on-grid), microgeracao REN ANEEL 1.000/2021; modulos monocristalinos, inversor string trifasico com monitoramento</t>
        </is>
      </c>
      <c r="G167" s="11" t="inlineStr">
        <is>
          <t>NBR 16274, NBR 16690, Portaria INMETRO 140/2022</t>
        </is>
      </c>
      <c r="H167" s="11" t="inlineStr">
        <is>
          <t>marca e modelo de modulo e inversor; a potencia e a area estao dimensionadas, o produto e cotacao</t>
        </is>
      </c>
      <c r="I167" s="18" t="inlineStr">
        <is>
          <t>sim</t>
        </is>
      </c>
    </row>
    <row r="168">
      <c r="A168" s="9" t="inlineStr">
        <is>
          <t>LUM-SOBREPOR24</t>
        </is>
      </c>
      <c r="B168" s="10" t="inlineStr">
        <is>
          <t>eletrica</t>
        </is>
      </c>
      <c r="C168" s="11" t="inlineStr">
        <is>
          <t>Plafon LED de sobrepor 24 W</t>
        </is>
      </c>
      <c r="D168" s="10" t="inlineStr">
        <is>
          <t>un</t>
        </is>
      </c>
      <c r="E168" s="14" t="n">
        <v>10</v>
      </c>
      <c r="F168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68" s="11" t="inlineStr">
        <is>
          <t>NBR ISO/CIE 8995-1, Portaria INMETRO 20/2017 (LED)</t>
        </is>
      </c>
      <c r="H168" s="11" t="inlineStr">
        <is>
          <t>marca e modelo: o fluxo e a potencia de cada tipo estao declarados; o produto e escolha de acabamento</t>
        </is>
      </c>
      <c r="I168" s="18" t="inlineStr">
        <is>
          <t>sim</t>
        </is>
      </c>
    </row>
    <row r="169">
      <c r="A169" s="9" t="inlineStr">
        <is>
          <t>REV-NICHO</t>
        </is>
      </c>
      <c r="B169" s="10" t="inlineStr">
        <is>
          <t>loucas</t>
        </is>
      </c>
      <c r="C169" s="11" t="inlineStr">
        <is>
          <t>Nicho de box 300 x 900 mm entre montantes (RU + ceramica)</t>
        </is>
      </c>
      <c r="D169" s="10" t="inlineStr">
        <is>
          <t>un</t>
        </is>
      </c>
      <c r="E169" s="14" t="n">
        <v>4</v>
      </c>
      <c r="F169" s="11" t="inlineStr">
        <is>
          <t>revestimento ceramico conforme quadro de acabamentos por ambiente; area ja com 10 % de perda de corte e quebra</t>
        </is>
      </c>
      <c r="G169" s="11" t="inlineStr">
        <is>
          <t>NBR 13818, NBR 15463</t>
        </is>
      </c>
      <c r="H169" s="11" t="inlineStr">
        <is>
          <t>linha, formato e PEI: o modelo define o TIPO por ambiente, a linha e escolha de acabamento</t>
        </is>
      </c>
      <c r="I169" s="18" t="inlineStr">
        <is>
          <t>sim</t>
        </is>
      </c>
    </row>
    <row r="170">
      <c r="A170" s="9" t="inlineStr">
        <is>
          <t>MET-REG</t>
        </is>
      </c>
      <c r="B170" s="10" t="inlineStr">
        <is>
          <t>loucas</t>
        </is>
      </c>
      <c r="C170" s="11" t="inlineStr">
        <is>
          <t>Registro de gaveta e de pressao</t>
        </is>
      </c>
      <c r="D170" s="10" t="inlineStr">
        <is>
          <t>un</t>
        </is>
      </c>
      <c r="E170" s="14" t="n">
        <v>14</v>
      </c>
      <c r="F170" s="11" t="inlineStr">
        <is>
          <t>louca / metal sanitario de linha comercial, cor branca para louca e acabamento cromado para metal; quantidade contada das pecas LOCADAS em planta, nao estimada por comodo</t>
        </is>
      </c>
      <c r="G170" s="11" t="inlineStr">
        <is>
          <t>NBR 15097, NBR 15705</t>
        </is>
      </c>
      <c r="H170" s="11" t="inlineStr">
        <is>
          <t>linha e fabricante: louca e metal sao decisao de acabamento do proprietario, e a mesma peca varia 3x de preco entre linhas</t>
        </is>
      </c>
      <c r="I170" s="18" t="inlineStr">
        <is>
          <t>sim</t>
        </is>
      </c>
    </row>
    <row r="171">
      <c r="A171" s="9" t="inlineStr">
        <is>
          <t>MET-CHUV</t>
        </is>
      </c>
      <c r="B171" s="10" t="inlineStr">
        <is>
          <t>loucas</t>
        </is>
      </c>
      <c r="C171" s="11" t="inlineStr">
        <is>
          <t>Chuveiro eletrico 220 V</t>
        </is>
      </c>
      <c r="D171" s="10" t="inlineStr">
        <is>
          <t>un</t>
        </is>
      </c>
      <c r="E171" s="14" t="n">
        <v>4</v>
      </c>
      <c r="F171" s="11" t="inlineStr">
        <is>
          <t>louca / metal sanitario de linha comercial, cor branca para louca e acabamento cromado para metal; quantidade contada das pecas LOCADAS em planta, nao estimada por comodo</t>
        </is>
      </c>
      <c r="G171" s="11" t="inlineStr">
        <is>
          <t>NBR 15097, NBR 15705</t>
        </is>
      </c>
      <c r="H171" s="11" t="inlineStr">
        <is>
          <t>linha e fabricante: louca e metal sao decisao de acabamento do proprietario, e a mesma peca varia 3x de preco entre linhas</t>
        </is>
      </c>
      <c r="I171" s="18" t="inlineStr">
        <is>
          <t>sim</t>
        </is>
      </c>
    </row>
    <row r="172">
      <c r="A172" s="9" t="inlineStr">
        <is>
          <t>ELE-DR</t>
        </is>
      </c>
      <c r="B172" s="10" t="inlineStr">
        <is>
          <t>eletrica</t>
        </is>
      </c>
      <c r="C172" s="11" t="inlineStr">
        <is>
          <t>Disjuntor diferencial residual 30 mA</t>
        </is>
      </c>
      <c r="D172" s="10" t="inlineStr">
        <is>
          <t>un</t>
        </is>
      </c>
      <c r="E172" s="14" t="n">
        <v>6</v>
      </c>
      <c r="F172" s="11" t="inlineStr">
        <is>
          <t>dispositivo de embutir em caixa 4x2 / 4x4, linha unica em toda a casa; tensao 127 V para TUG e 220 V para TUE, conforme esquema declarado no projeto</t>
        </is>
      </c>
      <c r="G172" s="11" t="inlineStr">
        <is>
          <t>NBR 14136, NBR 5410</t>
        </is>
      </c>
      <c r="H172" s="11" t="inlineStr"/>
      <c r="I172" s="18" t="inlineStr">
        <is>
          <t>sim</t>
        </is>
      </c>
    </row>
    <row r="173">
      <c r="A173" s="9" t="inlineStr">
        <is>
          <t>MET-DUCHA</t>
        </is>
      </c>
      <c r="B173" s="10" t="inlineStr">
        <is>
          <t>loucas</t>
        </is>
      </c>
      <c r="C173" s="11" t="inlineStr">
        <is>
          <t>Ducha higienica com registro</t>
        </is>
      </c>
      <c r="D173" s="10" t="inlineStr">
        <is>
          <t>un</t>
        </is>
      </c>
      <c r="E173" s="14" t="n">
        <v>5</v>
      </c>
      <c r="F173" s="11" t="inlineStr">
        <is>
          <t>louca / metal sanitario de linha comercial, cor branca para louca e acabamento cromado para metal; quantidade contada das pecas LOCADAS em planta, nao estimada por comodo</t>
        </is>
      </c>
      <c r="G173" s="11" t="inlineStr">
        <is>
          <t>NBR 15097, NBR 15705</t>
        </is>
      </c>
      <c r="H173" s="11" t="inlineStr">
        <is>
          <t>linha e fabricante: louca e metal sao decisao de acabamento do proprietario, e a mesma peca varia 3x de preco entre linhas</t>
        </is>
      </c>
      <c r="I173" s="18" t="inlineStr">
        <is>
          <t>sim</t>
        </is>
      </c>
    </row>
    <row r="174">
      <c r="A174" s="9" t="inlineStr">
        <is>
          <t>SPD-DESCIDA</t>
        </is>
      </c>
      <c r="B174" s="10" t="inlineStr">
        <is>
          <t>eletrica</t>
        </is>
      </c>
      <c r="C174" s="11" t="inlineStr">
        <is>
          <t>Descida natural pela estrutura LSF: conector de teste e ligacao</t>
        </is>
      </c>
      <c r="D174" s="10" t="inlineStr">
        <is>
          <t>un</t>
        </is>
      </c>
      <c r="E174" s="14" t="n">
        <v>4</v>
      </c>
      <c r="F174" s="11" t="inlineStr">
        <is>
          <t>SPDA conforme NBR 5419-3, classe IV: captor em anel no perimetro da cobertura, descidas naturais pela estrutura de aco com continuidade ensaiada, anel de aterramento no radier</t>
        </is>
      </c>
      <c r="G174" s="11" t="inlineStr">
        <is>
          <t>NBR 5410, NBR 5419-3, NBR 5419-4</t>
        </is>
      </c>
      <c r="H174" s="11" t="inlineStr">
        <is>
          <t>laudo de continuidade eletrica da estrutura e medicao de resistencia de aterramento apos a execucao</t>
        </is>
      </c>
      <c r="I174" s="18" t="inlineStr">
        <is>
          <t>sim</t>
        </is>
      </c>
    </row>
    <row r="175">
      <c r="A175" s="9" t="inlineStr">
        <is>
          <t>LUM-ARANDELA</t>
        </is>
      </c>
      <c r="B175" s="10" t="inlineStr">
        <is>
          <t>eletrica</t>
        </is>
      </c>
      <c r="C175" s="11" t="inlineStr">
        <is>
          <t>Arandela LED IP44 de espelho, 8 W</t>
        </is>
      </c>
      <c r="D175" s="10" t="inlineStr">
        <is>
          <t>un</t>
        </is>
      </c>
      <c r="E175" s="14" t="n">
        <v>6</v>
      </c>
      <c r="F175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75" s="11" t="inlineStr">
        <is>
          <t>NBR ISO/CIE 8995-1, Portaria INMETRO 20/2017 (LED)</t>
        </is>
      </c>
      <c r="H175" s="11" t="inlineStr">
        <is>
          <t>marca e modelo: o fluxo e a potencia de cada tipo estao declarados; o produto e escolha de acabamento</t>
        </is>
      </c>
      <c r="I175" s="18" t="inlineStr">
        <is>
          <t>sim</t>
        </is>
      </c>
    </row>
    <row r="176">
      <c r="A176" s="9" t="inlineStr">
        <is>
          <t>SPD-DPS1</t>
        </is>
      </c>
      <c r="B176" s="10" t="inlineStr">
        <is>
          <t>eletrica</t>
        </is>
      </c>
      <c r="C176" s="11" t="inlineStr">
        <is>
          <t>DPS classe I, 12,5 kA, 3F+N, na entrada</t>
        </is>
      </c>
      <c r="D176" s="10" t="inlineStr">
        <is>
          <t>un</t>
        </is>
      </c>
      <c r="E176" s="14" t="n">
        <v>1</v>
      </c>
      <c r="F176" s="11" t="inlineStr">
        <is>
          <t>SPDA conforme NBR 5419-3, classe IV: captor em anel no perimetro da cobertura, descidas naturais pela estrutura de aco com continuidade ensaiada, anel de aterramento no radier</t>
        </is>
      </c>
      <c r="G176" s="11" t="inlineStr">
        <is>
          <t>NBR 5410, NBR 5419-3, NBR 5419-4</t>
        </is>
      </c>
      <c r="H176" s="11" t="inlineStr">
        <is>
          <t>laudo de continuidade eletrica da estrutura e medicao de resistencia de aterramento apos a execucao</t>
        </is>
      </c>
      <c r="I176" s="18" t="inlineStr">
        <is>
          <t>sim</t>
        </is>
      </c>
    </row>
    <row r="177">
      <c r="A177" s="9" t="inlineStr">
        <is>
          <t>MET-DUCHA-TETO</t>
        </is>
      </c>
      <c r="B177" s="10" t="inlineStr">
        <is>
          <t>loucas</t>
        </is>
      </c>
      <c r="C177" s="11" t="inlineStr">
        <is>
          <t>Ducha de teto 250 mm com desviador (box &gt;= 1.400)</t>
        </is>
      </c>
      <c r="D177" s="10" t="inlineStr">
        <is>
          <t>un</t>
        </is>
      </c>
      <c r="E177" s="14" t="n">
        <v>1</v>
      </c>
      <c r="F177" s="11" t="inlineStr">
        <is>
          <t>louca / metal sanitario de linha comercial, cor branca para louca e acabamento cromado para metal; quantidade contada das pecas LOCADAS em planta, nao estimada por comodo</t>
        </is>
      </c>
      <c r="G177" s="11" t="inlineStr">
        <is>
          <t>NBR 15097, NBR 15705</t>
        </is>
      </c>
      <c r="H177" s="11" t="inlineStr">
        <is>
          <t>linha e fabricante: louca e metal sao decisao de acabamento do proprietario, e a mesma peca varia 3x de preco entre linhas</t>
        </is>
      </c>
      <c r="I177" s="18" t="inlineStr">
        <is>
          <t>sim</t>
        </is>
      </c>
    </row>
    <row r="178">
      <c r="A178" s="9" t="inlineStr">
        <is>
          <t>ELE-INT</t>
        </is>
      </c>
      <c r="B178" s="10" t="inlineStr">
        <is>
          <t>eletrica</t>
        </is>
      </c>
      <c r="C178" s="11" t="inlineStr">
        <is>
          <t>Interruptor simples e paralelo com placa</t>
        </is>
      </c>
      <c r="D178" s="10" t="inlineStr">
        <is>
          <t>un</t>
        </is>
      </c>
      <c r="E178" s="14" t="n">
        <v>27</v>
      </c>
      <c r="F178" s="11" t="inlineStr">
        <is>
          <t>dispositivo de embutir em caixa 4x2 / 4x4, linha unica em toda a casa; tensao 127 V para TUG e 220 V para TUE, conforme esquema declarado no projeto</t>
        </is>
      </c>
      <c r="G178" s="11" t="inlineStr">
        <is>
          <t>NBR 14136, NBR 5410</t>
        </is>
      </c>
      <c r="H178" s="11" t="inlineStr"/>
      <c r="I178" s="18" t="inlineStr">
        <is>
          <t>sim</t>
        </is>
      </c>
    </row>
    <row r="179">
      <c r="A179" s="9" t="inlineStr">
        <is>
          <t>LUM-PENDENTE40</t>
        </is>
      </c>
      <c r="B179" s="10" t="inlineStr">
        <is>
          <t>eletrica</t>
        </is>
      </c>
      <c r="C179" s="11" t="inlineStr">
        <is>
          <t>Pendente LED de pe-direito duplo, 40 W</t>
        </is>
      </c>
      <c r="D179" s="10" t="inlineStr">
        <is>
          <t>un</t>
        </is>
      </c>
      <c r="E179" s="14" t="n">
        <v>2</v>
      </c>
      <c r="F179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79" s="11" t="inlineStr">
        <is>
          <t>NBR ISO/CIE 8995-1, Portaria INMETRO 20/2017 (LED)</t>
        </is>
      </c>
      <c r="H179" s="11" t="inlineStr">
        <is>
          <t>marca e modelo: o fluxo e a potencia de cada tipo estao declarados; o produto e escolha de acabamento</t>
        </is>
      </c>
      <c r="I179" s="18" t="inlineStr">
        <is>
          <t>sim</t>
        </is>
      </c>
    </row>
    <row r="180">
      <c r="A180" s="9" t="inlineStr">
        <is>
          <t>LOU-ASSENTO</t>
        </is>
      </c>
      <c r="B180" s="10" t="inlineStr">
        <is>
          <t>loucas</t>
        </is>
      </c>
      <c r="C180" s="11" t="inlineStr">
        <is>
          <t>Assento sanitario com amortecedor</t>
        </is>
      </c>
      <c r="D180" s="10" t="inlineStr">
        <is>
          <t>un</t>
        </is>
      </c>
      <c r="E180" s="14" t="n">
        <v>5</v>
      </c>
      <c r="F180" s="11" t="inlineStr">
        <is>
          <t>louca / metal sanitario de linha comercial, cor branca para louca e acabamento cromado para metal; quantidade contada das pecas LOCADAS em planta, nao estimada por comodo</t>
        </is>
      </c>
      <c r="G180" s="11" t="inlineStr">
        <is>
          <t>NBR 15097, NBR 15705</t>
        </is>
      </c>
      <c r="H180" s="11" t="inlineStr">
        <is>
          <t>linha e fabricante: louca e metal sao decisao de acabamento do proprietario, e a mesma peca varia 3x de preco entre linhas</t>
        </is>
      </c>
      <c r="I180" s="18" t="inlineStr">
        <is>
          <t>sim</t>
        </is>
      </c>
    </row>
    <row r="181">
      <c r="A181" s="9" t="inlineStr">
        <is>
          <t>ELE-TUE</t>
        </is>
      </c>
      <c r="B181" s="10" t="inlineStr">
        <is>
          <t>eletrica</t>
        </is>
      </c>
      <c r="C181" s="11" t="inlineStr">
        <is>
          <t>Tomada de uso especifico 20 A com placa</t>
        </is>
      </c>
      <c r="D181" s="10" t="inlineStr">
        <is>
          <t>un</t>
        </is>
      </c>
      <c r="E181" s="14" t="n">
        <v>25</v>
      </c>
      <c r="F181" s="11" t="inlineStr">
        <is>
          <t>dispositivo de embutir em caixa 4x2 / 4x4, linha unica em toda a casa; tensao 127 V para TUG e 220 V para TUE, conforme esquema declarado no projeto</t>
        </is>
      </c>
      <c r="G181" s="11" t="inlineStr">
        <is>
          <t>NBR 14136, NBR 5410</t>
        </is>
      </c>
      <c r="H181" s="11" t="inlineStr"/>
      <c r="I181" s="18" t="inlineStr">
        <is>
          <t>sim</t>
        </is>
      </c>
    </row>
    <row r="182">
      <c r="A182" s="9" t="inlineStr">
        <is>
          <t>FV-STRINGBOX</t>
        </is>
      </c>
      <c r="B182" s="10" t="inlineStr">
        <is>
          <t>eletrica</t>
        </is>
      </c>
      <c r="C182" s="11" t="inlineStr">
        <is>
          <t>String box CC com DPS e seccionadora</t>
        </is>
      </c>
      <c r="D182" s="10" t="inlineStr">
        <is>
          <t>un</t>
        </is>
      </c>
      <c r="E182" s="14" t="n">
        <v>1</v>
      </c>
      <c r="F182" s="11" t="inlineStr">
        <is>
          <t>sistema fotovoltaico conectado a rede (on-grid), microgeracao REN ANEEL 1.000/2021; modulos monocristalinos, inversor string trifasico com monitoramento</t>
        </is>
      </c>
      <c r="G182" s="11" t="inlineStr">
        <is>
          <t>NBR 16274, NBR 16690, Portaria INMETRO 140/2022</t>
        </is>
      </c>
      <c r="H182" s="11" t="inlineStr">
        <is>
          <t>marca e modelo de modulo e inversor; a potencia e a area estao dimensionadas, o produto e cotacao</t>
        </is>
      </c>
      <c r="I182" s="18" t="inlineStr">
        <is>
          <t>sim</t>
        </is>
      </c>
    </row>
    <row r="183">
      <c r="A183" s="9" t="inlineStr">
        <is>
          <t>SPD-ENSAIO</t>
        </is>
      </c>
      <c r="B183" s="10" t="inlineStr">
        <is>
          <t>eletrica</t>
        </is>
      </c>
      <c r="C183" s="11" t="inlineStr">
        <is>
          <t>Ensaio de continuidade e resistencia de aterramento</t>
        </is>
      </c>
      <c r="D183" s="10" t="inlineStr">
        <is>
          <t>un</t>
        </is>
      </c>
      <c r="E183" s="14" t="n">
        <v>1</v>
      </c>
      <c r="F183" s="11" t="inlineStr">
        <is>
          <t>SPDA conforme NBR 5419-3, classe IV: captor em anel no perimetro da cobertura, descidas naturais pela estrutura de aco com continuidade ensaiada, anel de aterramento no radier</t>
        </is>
      </c>
      <c r="G183" s="11" t="inlineStr">
        <is>
          <t>NBR 5410, NBR 5419-3, NBR 5419-4</t>
        </is>
      </c>
      <c r="H183" s="11" t="inlineStr">
        <is>
          <t>laudo de continuidade eletrica da estrutura e medicao de resistencia de aterramento apos a execucao</t>
        </is>
      </c>
      <c r="I183" s="18" t="inlineStr">
        <is>
          <t>sim</t>
        </is>
      </c>
    </row>
    <row r="184">
      <c r="A184" s="9" t="inlineStr">
        <is>
          <t>LOU-TANQUE</t>
        </is>
      </c>
      <c r="B184" s="10" t="inlineStr">
        <is>
          <t>loucas</t>
        </is>
      </c>
      <c r="C184" s="11" t="inlineStr">
        <is>
          <t>Tanque de lavanderia</t>
        </is>
      </c>
      <c r="D184" s="10" t="inlineStr">
        <is>
          <t>un</t>
        </is>
      </c>
      <c r="E184" s="14" t="n">
        <v>2</v>
      </c>
      <c r="F184" s="11" t="inlineStr">
        <is>
          <t>louca / metal sanitario de linha comercial, cor branca para louca e acabamento cromado para metal; quantidade contada das pecas LOCADAS em planta, nao estimada por comodo</t>
        </is>
      </c>
      <c r="G184" s="11" t="inlineStr">
        <is>
          <t>NBR 15097, NBR 15705</t>
        </is>
      </c>
      <c r="H184" s="11" t="inlineStr">
        <is>
          <t>linha e fabricante: louca e metal sao decisao de acabamento do proprietario, e a mesma peca varia 3x de preco entre linhas</t>
        </is>
      </c>
      <c r="I184" s="18" t="inlineStr">
        <is>
          <t>sim</t>
        </is>
      </c>
    </row>
    <row r="185">
      <c r="A185" s="9" t="inlineStr">
        <is>
          <t>MET-TORN-T</t>
        </is>
      </c>
      <c r="B185" s="10" t="inlineStr">
        <is>
          <t>loucas</t>
        </is>
      </c>
      <c r="C185" s="11" t="inlineStr">
        <is>
          <t>Torneira de tanque e de jardim</t>
        </is>
      </c>
      <c r="D185" s="10" t="inlineStr">
        <is>
          <t>un</t>
        </is>
      </c>
      <c r="E185" s="14" t="n">
        <v>4</v>
      </c>
      <c r="F185" s="11" t="inlineStr">
        <is>
          <t>louca / metal sanitario de linha comercial, cor branca para louca e acabamento cromado para metal; quantidade contada das pecas LOCADAS em planta, nao estimada por comodo</t>
        </is>
      </c>
      <c r="G185" s="11" t="inlineStr">
        <is>
          <t>NBR 15097, NBR 15705</t>
        </is>
      </c>
      <c r="H185" s="11" t="inlineStr">
        <is>
          <t>linha e fabricante: louca e metal sao decisao de acabamento do proprietario, e a mesma peca varia 3x de preco entre linhas</t>
        </is>
      </c>
      <c r="I185" s="18" t="inlineStr">
        <is>
          <t>sim</t>
        </is>
      </c>
    </row>
    <row r="186">
      <c r="A186" s="9" t="inlineStr">
        <is>
          <t>MET-ENGATE</t>
        </is>
      </c>
      <c r="B186" s="10" t="inlineStr">
        <is>
          <t>loucas</t>
        </is>
      </c>
      <c r="C186" s="11" t="inlineStr">
        <is>
          <t>Engate flexivel</t>
        </is>
      </c>
      <c r="D186" s="10" t="inlineStr">
        <is>
          <t>un</t>
        </is>
      </c>
      <c r="E186" s="14" t="n">
        <v>27</v>
      </c>
      <c r="F186" s="11" t="inlineStr">
        <is>
          <t>louca / metal sanitario de linha comercial, cor branca para louca e acabamento cromado para metal; quantidade contada das pecas LOCADAS em planta, nao estimada por comodo</t>
        </is>
      </c>
      <c r="G186" s="11" t="inlineStr">
        <is>
          <t>NBR 15097, NBR 15705</t>
        </is>
      </c>
      <c r="H186" s="11" t="inlineStr">
        <is>
          <t>linha e fabricante: louca e metal sao decisao de acabamento do proprietario, e a mesma peca varia 3x de preco entre linhas</t>
        </is>
      </c>
      <c r="I186" s="18" t="inlineStr">
        <is>
          <t>sim</t>
        </is>
      </c>
    </row>
    <row r="187">
      <c r="A187" s="9" t="inlineStr">
        <is>
          <t>FV-CABO</t>
        </is>
      </c>
      <c r="B187" s="10" t="inlineStr">
        <is>
          <t>eletrica</t>
        </is>
      </c>
      <c r="C187" s="11" t="inlineStr">
        <is>
          <t>Cabo solar 6 mm2 e eletroduto ate o inversor</t>
        </is>
      </c>
      <c r="D187" s="10" t="inlineStr">
        <is>
          <t>m</t>
        </is>
      </c>
      <c r="E187" s="14" t="n">
        <v>40.3</v>
      </c>
      <c r="F187" s="11" t="inlineStr">
        <is>
          <t>sistema fotovoltaico conectado a rede (on-grid), microgeracao REN ANEEL 1.000/2021; modulos monocristalinos, inversor string trifasico com monitoramento</t>
        </is>
      </c>
      <c r="G187" s="11" t="inlineStr">
        <is>
          <t>NBR 16274, NBR 16690, Portaria INMETRO 140/2022</t>
        </is>
      </c>
      <c r="H187" s="11" t="inlineStr">
        <is>
          <t>marca e modelo de modulo e inversor; a potencia e a area estao dimensionadas, o produto e cotacao</t>
        </is>
      </c>
      <c r="I187" s="18" t="inlineStr">
        <is>
          <t>sim</t>
        </is>
      </c>
    </row>
    <row r="188">
      <c r="A188" s="9" t="inlineStr">
        <is>
          <t>LUM-BALIZADOR</t>
        </is>
      </c>
      <c r="B188" s="10" t="inlineStr">
        <is>
          <t>eletrica</t>
        </is>
      </c>
      <c r="C188" s="11" t="inlineStr">
        <is>
          <t>Balizador LED de escada, 3 W</t>
        </is>
      </c>
      <c r="D188" s="10" t="inlineStr">
        <is>
          <t>un</t>
        </is>
      </c>
      <c r="E188" s="14" t="n">
        <v>6</v>
      </c>
      <c r="F188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88" s="11" t="inlineStr">
        <is>
          <t>NBR ISO/CIE 8995-1, Portaria INMETRO 20/2017 (LED)</t>
        </is>
      </c>
      <c r="H188" s="11" t="inlineStr">
        <is>
          <t>marca e modelo: o fluxo e a potencia de cada tipo estao declarados; o produto e escolha de acabamento</t>
        </is>
      </c>
      <c r="I188" s="18" t="inlineStr">
        <is>
          <t>sim</t>
        </is>
      </c>
    </row>
    <row r="189">
      <c r="A189" s="9" t="inlineStr">
        <is>
          <t>MET-VALV</t>
        </is>
      </c>
      <c r="B189" s="10" t="inlineStr">
        <is>
          <t>loucas</t>
        </is>
      </c>
      <c r="C189" s="11" t="inlineStr">
        <is>
          <t>Valvula de escoamento e de lavatorio</t>
        </is>
      </c>
      <c r="D189" s="10" t="inlineStr">
        <is>
          <t>un</t>
        </is>
      </c>
      <c r="E189" s="14" t="n">
        <v>11</v>
      </c>
      <c r="F189" s="11" t="inlineStr">
        <is>
          <t>louca / metal sanitario de linha comercial, cor branca para louca e acabamento cromado para metal; quantidade contada das pecas LOCADAS em planta, nao estimada por comodo</t>
        </is>
      </c>
      <c r="G189" s="11" t="inlineStr">
        <is>
          <t>NBR 15097, NBR 15705</t>
        </is>
      </c>
      <c r="H189" s="11" t="inlineStr">
        <is>
          <t>linha e fabricante: louca e metal sao decisao de acabamento do proprietario, e a mesma peca varia 3x de preco entre linhas</t>
        </is>
      </c>
      <c r="I189" s="18" t="inlineStr">
        <is>
          <t>sim</t>
        </is>
      </c>
    </row>
    <row r="190">
      <c r="A190" s="9" t="inlineStr">
        <is>
          <t>SPD-BEP</t>
        </is>
      </c>
      <c r="B190" s="10" t="inlineStr">
        <is>
          <t>eletrica</t>
        </is>
      </c>
      <c r="C190" s="11" t="inlineStr">
        <is>
          <t>Barramento de equipotencializacao principal</t>
        </is>
      </c>
      <c r="D190" s="10" t="inlineStr">
        <is>
          <t>un</t>
        </is>
      </c>
      <c r="E190" s="14" t="n">
        <v>1</v>
      </c>
      <c r="F190" s="11" t="inlineStr">
        <is>
          <t>SPDA conforme NBR 5419-3, classe IV: captor em anel no perimetro da cobertura, descidas naturais pela estrutura de aco com continuidade ensaiada, anel de aterramento no radier</t>
        </is>
      </c>
      <c r="G190" s="11" t="inlineStr">
        <is>
          <t>NBR 5410, NBR 5419-3, NBR 5419-4</t>
        </is>
      </c>
      <c r="H190" s="11" t="inlineStr">
        <is>
          <t>laudo de continuidade eletrica da estrutura e medicao de resistencia de aterramento apos a execucao</t>
        </is>
      </c>
      <c r="I190" s="18" t="inlineStr">
        <is>
          <t>sim</t>
        </is>
      </c>
    </row>
    <row r="191">
      <c r="A191" s="9" t="inlineStr">
        <is>
          <t>MET-SIFAO</t>
        </is>
      </c>
      <c r="B191" s="10" t="inlineStr">
        <is>
          <t>loucas</t>
        </is>
      </c>
      <c r="C191" s="11" t="inlineStr">
        <is>
          <t>Sifao flexivel</t>
        </is>
      </c>
      <c r="D191" s="10" t="inlineStr">
        <is>
          <t>un</t>
        </is>
      </c>
      <c r="E191" s="14" t="n">
        <v>11</v>
      </c>
      <c r="F191" s="11" t="inlineStr">
        <is>
          <t>louca / metal sanitario de linha comercial, cor branca para louca e acabamento cromado para metal; quantidade contada das pecas LOCADAS em planta, nao estimada por comodo</t>
        </is>
      </c>
      <c r="G191" s="11" t="inlineStr">
        <is>
          <t>NBR 15097, NBR 15705</t>
        </is>
      </c>
      <c r="H191" s="11" t="inlineStr">
        <is>
          <t>linha e fabricante: louca e metal sao decisao de acabamento do proprietario, e a mesma peca varia 3x de preco entre linhas</t>
        </is>
      </c>
      <c r="I191" s="18" t="inlineStr">
        <is>
          <t>sim</t>
        </is>
      </c>
    </row>
    <row r="192">
      <c r="A192" s="9" t="inlineStr">
        <is>
          <t>SPD-HASTE</t>
        </is>
      </c>
      <c r="B192" s="10" t="inlineStr">
        <is>
          <t>eletrica</t>
        </is>
      </c>
      <c r="C192" s="11" t="inlineStr">
        <is>
          <t>Haste de aterramento 5/8 x 2.400 mm</t>
        </is>
      </c>
      <c r="D192" s="10" t="inlineStr">
        <is>
          <t>un</t>
        </is>
      </c>
      <c r="E192" s="14" t="n">
        <v>4</v>
      </c>
      <c r="F192" s="11" t="inlineStr">
        <is>
          <t>SPDA conforme NBR 5419-3, classe IV: captor em anel no perimetro da cobertura, descidas naturais pela estrutura de aco com continuidade ensaiada, anel de aterramento no radier</t>
        </is>
      </c>
      <c r="G192" s="11" t="inlineStr">
        <is>
          <t>NBR 5410, NBR 5419-3, NBR 5419-4</t>
        </is>
      </c>
      <c r="H192" s="11" t="inlineStr">
        <is>
          <t>laudo de continuidade eletrica da estrutura e medicao de resistencia de aterramento apos a execucao</t>
        </is>
      </c>
      <c r="I192" s="18" t="inlineStr">
        <is>
          <t>sim</t>
        </is>
      </c>
    </row>
    <row r="193">
      <c r="A193" s="9" t="inlineStr">
        <is>
          <t>LUM-DOWNLIGHT12</t>
        </is>
      </c>
      <c r="B193" s="10" t="inlineStr">
        <is>
          <t>eletrica</t>
        </is>
      </c>
      <c r="C193" s="11" t="inlineStr">
        <is>
          <t>Downlight LED embutido 12 W</t>
        </is>
      </c>
      <c r="D193" s="10" t="inlineStr">
        <is>
          <t>un</t>
        </is>
      </c>
      <c r="E193" s="14" t="n">
        <v>4</v>
      </c>
      <c r="F19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93" s="11" t="inlineStr">
        <is>
          <t>NBR ISO/CIE 8995-1, Portaria INMETRO 20/2017 (LED)</t>
        </is>
      </c>
      <c r="H193" s="11" t="inlineStr">
        <is>
          <t>marca e modelo: o fluxo e a potencia de cada tipo estao declarados; o produto e escolha de acabamento</t>
        </is>
      </c>
      <c r="I193" s="18" t="inlineStr">
        <is>
          <t>sim</t>
        </is>
      </c>
    </row>
    <row r="194">
      <c r="A194" s="9" t="inlineStr">
        <is>
          <t>ELE-DPS</t>
        </is>
      </c>
      <c r="B194" s="10" t="inlineStr">
        <is>
          <t>eletrica</t>
        </is>
      </c>
      <c r="C194" s="11" t="inlineStr">
        <is>
          <t>Dispositivo de protecao contra surtos</t>
        </is>
      </c>
      <c r="D194" s="10" t="inlineStr">
        <is>
          <t>un</t>
        </is>
      </c>
      <c r="E194" s="14" t="n">
        <v>2</v>
      </c>
      <c r="F194" s="11" t="inlineStr">
        <is>
          <t>dispositivo de embutir em caixa 4x2 / 4x4, linha unica em toda a casa; tensao 127 V para TUG e 220 V para TUE, conforme esquema declarado no projeto</t>
        </is>
      </c>
      <c r="G194" s="11" t="inlineStr">
        <is>
          <t>NBR 14136, NBR 5410</t>
        </is>
      </c>
      <c r="H194" s="11" t="inlineStr"/>
      <c r="I194" s="18" t="inlineStr">
        <is>
          <t>sim</t>
        </is>
      </c>
    </row>
    <row r="196">
      <c r="A196" s="3" t="inlineStr">
        <is>
          <t>ROTA ALTERNATIVA — peça cortada e furada em vez de barra</t>
        </is>
      </c>
    </row>
    <row r="197">
      <c r="A197" s="2" t="inlineStr">
        <is>
          <t>Estes itens NÃO entram no total: são a mesma estrutura comprada pronta. Cotar os dois e comparar contra o custo de corte próprio.</t>
        </is>
      </c>
    </row>
    <row r="198">
      <c r="A198" s="26" t="inlineStr">
        <is>
          <t>ITEM</t>
        </is>
      </c>
      <c r="B198" s="26" t="inlineStr">
        <is>
          <t>DESCRIÇÃO</t>
        </is>
      </c>
      <c r="C198" s="26" t="inlineStr">
        <is>
          <t>UN</t>
        </is>
      </c>
      <c r="D198" s="26" t="inlineStr">
        <is>
          <t>QUANTIDADE</t>
        </is>
      </c>
      <c r="E198" s="26" t="inlineStr">
        <is>
          <t>ESPECIFICAÇÃO</t>
        </is>
      </c>
      <c r="F198" s="26" t="inlineStr">
        <is>
          <t>NORMAS</t>
        </is>
      </c>
    </row>
    <row r="199">
      <c r="A199" s="9" t="inlineStr">
        <is>
          <t>PF-Ue 90x40x12x0,95</t>
        </is>
      </c>
      <c r="B199" s="11" t="inlineStr">
        <is>
          <t>Ue 90x40x12x0,95</t>
        </is>
      </c>
      <c r="C199" s="10" t="inlineStr">
        <is>
          <t>pc</t>
        </is>
      </c>
      <c r="D199" s="14" t="n">
        <v>588</v>
      </c>
      <c r="E199" s="11" t="inlineStr">
        <is>
          <t>peca cortada e furada conforme Ue 90x40x12x0,95; rota ALTERNATIVA a barra: cotar peca pronta so faz sentido contra o custo de corte proprio</t>
        </is>
      </c>
      <c r="F199" s="10" t="inlineStr">
        <is>
          <t>NBR 15253</t>
        </is>
      </c>
    </row>
    <row r="200">
      <c r="A200" s="9" t="inlineStr">
        <is>
          <t>PF-Ue 250x40x15x3,00</t>
        </is>
      </c>
      <c r="B200" s="11" t="inlineStr">
        <is>
          <t>Ue 250x40x15x3,00</t>
        </is>
      </c>
      <c r="C200" s="10" t="inlineStr">
        <is>
          <t>pc</t>
        </is>
      </c>
      <c r="D200" s="14" t="n">
        <v>22</v>
      </c>
      <c r="E200" s="11" t="inlineStr">
        <is>
          <t>peca cortada e furada conforme Ue 250x40x15x3,00; rota ALTERNATIVA a barra: cotar peca pronta so faz sentido contra o custo de corte proprio</t>
        </is>
      </c>
      <c r="F200" s="10" t="inlineStr">
        <is>
          <t>NBR 15253</t>
        </is>
      </c>
    </row>
    <row r="201">
      <c r="A201" s="9" t="inlineStr">
        <is>
          <t>PF-U 92x38x0,95</t>
        </is>
      </c>
      <c r="B201" s="11" t="inlineStr">
        <is>
          <t>U 92x38x0,95</t>
        </is>
      </c>
      <c r="C201" s="10" t="inlineStr">
        <is>
          <t>pc</t>
        </is>
      </c>
      <c r="D201" s="14" t="n">
        <v>335</v>
      </c>
      <c r="E201" s="11" t="inlineStr">
        <is>
          <t>peca cortada e furada conforme U 92x38x0,95; rota ALTERNATIVA a barra: cotar peca pronta so faz sentido contra o custo de corte proprio</t>
        </is>
      </c>
      <c r="F201" s="10" t="inlineStr">
        <is>
          <t>NBR 15253</t>
        </is>
      </c>
    </row>
    <row r="202">
      <c r="A202" s="9" t="inlineStr">
        <is>
          <t>PF-Ue 250x40x12x2,25</t>
        </is>
      </c>
      <c r="B202" s="11" t="inlineStr">
        <is>
          <t>Ue 250x40x12x2,25</t>
        </is>
      </c>
      <c r="C202" s="10" t="inlineStr">
        <is>
          <t>pc</t>
        </is>
      </c>
      <c r="D202" s="14" t="n">
        <v>24</v>
      </c>
      <c r="E202" s="11" t="inlineStr">
        <is>
          <t>peca cortada e furada conforme Ue 250x40x12x2,25; rota ALTERNATIVA a barra: cotar peca pronta so faz sentido contra o custo de corte proprio</t>
        </is>
      </c>
      <c r="F202" s="10" t="inlineStr">
        <is>
          <t>NBR 15253</t>
        </is>
      </c>
    </row>
    <row r="203">
      <c r="A203" s="9" t="inlineStr">
        <is>
          <t>PF-Ue 140x40x12x0,80</t>
        </is>
      </c>
      <c r="B203" s="11" t="inlineStr">
        <is>
          <t>Ue 140x40x12x0,80</t>
        </is>
      </c>
      <c r="C203" s="10" t="inlineStr">
        <is>
          <t>pc</t>
        </is>
      </c>
      <c r="D203" s="14" t="n">
        <v>80</v>
      </c>
      <c r="E203" s="11" t="inlineStr">
        <is>
          <t>peca cortada e furada conforme Ue 140x40x12x0,80; rota ALTERNATIVA a barra: cotar peca pronta so faz sentido contra o custo de corte proprio</t>
        </is>
      </c>
      <c r="F203" s="10" t="inlineStr">
        <is>
          <t>NBR 15253</t>
        </is>
      </c>
    </row>
    <row r="204">
      <c r="A204" s="9" t="inlineStr">
        <is>
          <t>PF-Ue 200x40x12x1,25</t>
        </is>
      </c>
      <c r="B204" s="11" t="inlineStr">
        <is>
          <t>Ue 200x40x12x1,25</t>
        </is>
      </c>
      <c r="C204" s="10" t="inlineStr">
        <is>
          <t>pc</t>
        </is>
      </c>
      <c r="D204" s="14" t="n">
        <v>16</v>
      </c>
      <c r="E204" s="11" t="inlineStr">
        <is>
          <t>peca cortada e furada conforme Ue 200x40x12x1,25; rota ALTERNATIVA a barra: cotar peca pronta so faz sentido contra o custo de corte proprio</t>
        </is>
      </c>
      <c r="F204" s="10" t="inlineStr">
        <is>
          <t>NBR 15253</t>
        </is>
      </c>
    </row>
    <row r="205">
      <c r="A205" s="9" t="inlineStr">
        <is>
          <t>PF-Ue 200x40x12x0,95</t>
        </is>
      </c>
      <c r="B205" s="11" t="inlineStr">
        <is>
          <t>Ue 200x40x12x0,95</t>
        </is>
      </c>
      <c r="C205" s="10" t="inlineStr">
        <is>
          <t>pc</t>
        </is>
      </c>
      <c r="D205" s="14" t="n">
        <v>24</v>
      </c>
      <c r="E205" s="11" t="inlineStr">
        <is>
          <t>peca cortada e furada conforme Ue 200x40x12x0,95; rota ALTERNATIVA a barra: cotar peca pronta so faz sentido contra o custo de corte proprio</t>
        </is>
      </c>
      <c r="F205" s="10" t="inlineStr">
        <is>
          <t>NBR 15253</t>
        </is>
      </c>
    </row>
    <row r="206">
      <c r="A206" s="9" t="inlineStr">
        <is>
          <t>PF-Ue 90x40x12x1,25</t>
        </is>
      </c>
      <c r="B206" s="11" t="inlineStr">
        <is>
          <t>Ue 90x40x12x1,25</t>
        </is>
      </c>
      <c r="C206" s="10" t="inlineStr">
        <is>
          <t>pc</t>
        </is>
      </c>
      <c r="D206" s="14" t="n">
        <v>51</v>
      </c>
      <c r="E206" s="11" t="inlineStr">
        <is>
          <t>peca cortada e furada conforme Ue 90x40x12x1,25; rota ALTERNATIVA a barra: cotar peca pronta so faz sentido contra o custo de corte proprio</t>
        </is>
      </c>
      <c r="F206" s="10" t="inlineStr">
        <is>
          <t>NBR 15253</t>
        </is>
      </c>
    </row>
    <row r="207">
      <c r="A207" s="9" t="inlineStr">
        <is>
          <t>PF-Ue 140x40x12x1,25</t>
        </is>
      </c>
      <c r="B207" s="11" t="inlineStr">
        <is>
          <t>Ue 140x40x12x1,25</t>
        </is>
      </c>
      <c r="C207" s="10" t="inlineStr">
        <is>
          <t>pc</t>
        </is>
      </c>
      <c r="D207" s="14" t="n">
        <v>19</v>
      </c>
      <c r="E207" s="11" t="inlineStr">
        <is>
          <t>peca cortada e furada conforme Ue 140x40x12x1,25; rota ALTERNATIVA a barra: cotar peca pronta so faz sentido contra o custo de corte proprio</t>
        </is>
      </c>
      <c r="F207" s="10" t="inlineStr">
        <is>
          <t>NBR 15253</t>
        </is>
      </c>
    </row>
    <row r="208">
      <c r="A208" s="9" t="inlineStr">
        <is>
          <t>PF-Ue 250x40x12x1,25</t>
        </is>
      </c>
      <c r="B208" s="11" t="inlineStr">
        <is>
          <t>Ue 250x40x12x1,25</t>
        </is>
      </c>
      <c r="C208" s="10" t="inlineStr">
        <is>
          <t>pc</t>
        </is>
      </c>
      <c r="D208" s="14" t="n">
        <v>4</v>
      </c>
      <c r="E208" s="11" t="inlineStr">
        <is>
          <t>peca cortada e furada conforme Ue 250x40x12x1,25; rota ALTERNATIVA a barra: cotar peca pronta so faz sentido contra o custo de corte proprio</t>
        </is>
      </c>
      <c r="F208" s="10" t="inlineStr">
        <is>
          <t>NBR 15253</t>
        </is>
      </c>
    </row>
    <row r="209">
      <c r="A209" s="9" t="inlineStr">
        <is>
          <t>PF-Fita 38x0,80</t>
        </is>
      </c>
      <c r="B209" s="11" t="inlineStr">
        <is>
          <t>Fita 38x0,80</t>
        </is>
      </c>
      <c r="C209" s="10" t="inlineStr">
        <is>
          <t>pc</t>
        </is>
      </c>
      <c r="D209" s="14" t="n">
        <v>38</v>
      </c>
      <c r="E209" s="11" t="inlineStr">
        <is>
          <t>peca cortada e furada conforme Fita 38x0,80; rota ALTERNATIVA a barra: cotar peca pronta so faz sentido contra o custo de corte proprio</t>
        </is>
      </c>
      <c r="F209" s="10" t="inlineStr">
        <is>
          <t>NBR 15253</t>
        </is>
      </c>
    </row>
    <row r="210">
      <c r="A210" s="9" t="inlineStr">
        <is>
          <t>PLACA</t>
        </is>
      </c>
      <c r="B210" s="11" t="inlineStr">
        <is>
          <t>Placa (gesso, RU e cimenticia)</t>
        </is>
      </c>
      <c r="C210" s="10" t="inlineStr">
        <is>
          <t>pc</t>
        </is>
      </c>
      <c r="D210" s="14" t="n">
        <v>944</v>
      </c>
      <c r="E210" s="11" t="inlineStr">
        <is>
          <t>placa inteira, por formato — rota alternativa a compra por m2; formatos: 1200 x 2400, 1200 x 25000, 600 x 1250</t>
        </is>
      </c>
      <c r="F210" s="10" t="inlineStr">
        <is>
          <t>NBR 15758</t>
        </is>
      </c>
    </row>
  </sheetData>
  <autoFilter ref="A3:I194"/>
  <conditionalFormatting sqref="I4:I194">
    <cfRule type="cellIs" priority="1" operator="equal" dxfId="1">
      <formula>"com lacuna"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" customWidth="1" min="2" max="2"/>
    <col width="34" customWidth="1" min="3" max="3"/>
    <col width="14" customWidth="1" min="4" max="4"/>
    <col width="40" customWidth="1" min="5" max="5"/>
    <col width="20" customWidth="1" min="6" max="6"/>
    <col width="24" customWidth="1" min="7" max="7"/>
    <col width="15" customWidth="1" min="8" max="8"/>
    <col width="12" customWidth="1" min="9" max="9"/>
    <col width="16" customWidth="1" min="10" max="10"/>
    <col width="13" customWidth="1" min="11" max="11"/>
    <col width="22" customWidth="1" min="12" max="12"/>
    <col width="28" customWidth="1" min="13" max="13"/>
  </cols>
  <sheetData>
    <row r="1">
      <c r="A1" s="1" t="inlineStr">
        <is>
          <t>FORNECEDORES PESQUISADOS</t>
        </is>
      </c>
    </row>
    <row r="2">
      <c r="A2" s="2" t="inlineStr">
        <is>
          <t>Nomes levantados por pesquisa de mercado. Preço NÃO foi coletado: loja de material não publica valor em página indexável. Complete contato, proposta e prazo ao pedir.</t>
        </is>
      </c>
    </row>
    <row r="3">
      <c r="A3" s="26" t="inlineStr">
        <is>
          <t>FAMÍLIA</t>
        </is>
      </c>
      <c r="B3" s="26" t="inlineStr">
        <is>
          <t>Nº</t>
        </is>
      </c>
      <c r="C3" s="26" t="inlineStr">
        <is>
          <t>FORNECEDOR</t>
        </is>
      </c>
      <c r="D3" s="26" t="inlineStr">
        <is>
          <t>PRAÇA</t>
        </is>
      </c>
      <c r="E3" s="26" t="inlineStr">
        <is>
          <t>O QUE FORNECE</t>
        </is>
      </c>
      <c r="F3" s="26" t="inlineStr">
        <is>
          <t>CONTATO</t>
        </is>
      </c>
      <c r="G3" s="26" t="inlineStr">
        <is>
          <t>TELEFONE / E-MAIL</t>
        </is>
      </c>
      <c r="H3" s="26" t="inlineStr">
        <is>
          <t>DATA DA PROPOSTA</t>
        </is>
      </c>
      <c r="I3" s="26" t="inlineStr">
        <is>
          <t>VALIDADE</t>
        </is>
      </c>
      <c r="J3" s="26" t="inlineStr">
        <is>
          <t>PRAZO DE ENTREGA</t>
        </is>
      </c>
      <c r="K3" s="26" t="inlineStr">
        <is>
          <t>FRETE INCLUSO?</t>
        </is>
      </c>
      <c r="L3" s="26" t="inlineStr">
        <is>
          <t>CONDIÇÃO DE PAGAMENTO</t>
        </is>
      </c>
      <c r="M3" s="26" t="inlineStr">
        <is>
          <t>OBSERVAÇÃO</t>
        </is>
      </c>
    </row>
    <row r="4">
      <c r="A4" s="9" t="inlineStr">
        <is>
          <t>vedacao</t>
        </is>
      </c>
      <c r="B4" s="18" t="n">
        <v>1</v>
      </c>
      <c r="C4" s="10" t="inlineStr">
        <is>
          <t>Du Norte Comercio</t>
        </is>
      </c>
      <c r="D4" s="36" t="inlineStr">
        <is>
          <t>Manaus/AM</t>
        </is>
      </c>
      <c r="E4" s="11" t="inlineStr">
        <is>
          <t>distribuidora de materiais</t>
        </is>
      </c>
      <c r="F4" s="37" t="n"/>
      <c r="G4" s="37" t="n"/>
      <c r="H4" s="38" t="n"/>
      <c r="I4" s="38" t="n"/>
      <c r="J4" s="37" t="n"/>
      <c r="K4" s="37" t="n"/>
      <c r="L4" s="37" t="n"/>
      <c r="M4" s="37" t="n"/>
    </row>
    <row r="5">
      <c r="A5" s="10" t="inlineStr">
        <is>
          <t>vedacao</t>
        </is>
      </c>
      <c r="B5" s="18" t="n">
        <v>2</v>
      </c>
      <c r="C5" s="10" t="inlineStr">
        <is>
          <t>Knauf / Placo</t>
        </is>
      </c>
      <c r="D5" s="10" t="inlineStr">
        <is>
          <t>Nacional</t>
        </is>
      </c>
      <c r="E5" s="11" t="inlineStr">
        <is>
          <t>chapa de gesso, fabricante</t>
        </is>
      </c>
      <c r="F5" s="37" t="n"/>
      <c r="G5" s="37" t="n"/>
      <c r="H5" s="38" t="n"/>
      <c r="I5" s="38" t="n"/>
      <c r="J5" s="37" t="n"/>
      <c r="K5" s="37" t="n"/>
      <c r="L5" s="37" t="n"/>
      <c r="M5" s="37" t="n"/>
    </row>
    <row r="6">
      <c r="A6" s="10" t="inlineStr">
        <is>
          <t>vedacao</t>
        </is>
      </c>
      <c r="B6" s="18" t="n">
        <v>3</v>
      </c>
      <c r="C6" s="10" t="inlineStr">
        <is>
          <t>Brasilit / Eternit</t>
        </is>
      </c>
      <c r="D6" s="10" t="inlineStr">
        <is>
          <t>Nacional</t>
        </is>
      </c>
      <c r="E6" s="11" t="inlineStr">
        <is>
          <t>placa cimenticia</t>
        </is>
      </c>
      <c r="F6" s="37" t="n"/>
      <c r="G6" s="37" t="n"/>
      <c r="H6" s="38" t="n"/>
      <c r="I6" s="38" t="n"/>
      <c r="J6" s="37" t="n"/>
      <c r="K6" s="37" t="n"/>
      <c r="L6" s="37" t="n"/>
      <c r="M6" s="37" t="n"/>
    </row>
    <row r="7">
      <c r="A7" s="10" t="inlineStr">
        <is>
          <t>vedacao</t>
        </is>
      </c>
      <c r="B7" s="18" t="n">
        <v>4</v>
      </c>
      <c r="C7" s="10" t="inlineStr">
        <is>
          <t>Isover / Saint-Gobain</t>
        </is>
      </c>
      <c r="D7" s="10" t="inlineStr">
        <is>
          <t>Nacional</t>
        </is>
      </c>
      <c r="E7" s="11" t="inlineStr">
        <is>
          <t>la de rocha e la de vidro</t>
        </is>
      </c>
      <c r="F7" s="37" t="n"/>
      <c r="G7" s="37" t="n"/>
      <c r="H7" s="38" t="n"/>
      <c r="I7" s="38" t="n"/>
      <c r="J7" s="37" t="n"/>
      <c r="K7" s="37" t="n"/>
      <c r="L7" s="37" t="n"/>
      <c r="M7" s="37" t="n"/>
    </row>
    <row r="8">
      <c r="A8" s="10" t="inlineStr">
        <is>
          <t>vedacao</t>
        </is>
      </c>
      <c r="B8" s="18" t="n">
        <v>5</v>
      </c>
      <c r="C8" s="10" t="inlineStr">
        <is>
          <t>Obramax</t>
        </is>
      </c>
      <c r="D8" s="10" t="inlineStr">
        <is>
          <t>Nacional</t>
        </is>
      </c>
      <c r="E8" s="11" t="inlineStr">
        <is>
          <t>distribuidor de construcao a seco</t>
        </is>
      </c>
      <c r="F8" s="37" t="n"/>
      <c r="G8" s="37" t="n"/>
      <c r="H8" s="38" t="n"/>
      <c r="I8" s="38" t="n"/>
      <c r="J8" s="37" t="n"/>
      <c r="K8" s="37" t="n"/>
      <c r="L8" s="37" t="n"/>
      <c r="M8" s="37" t="n"/>
    </row>
    <row r="9">
      <c r="A9" s="9" t="inlineStr">
        <is>
          <t>externo</t>
        </is>
      </c>
      <c r="B9" s="18" t="n">
        <v>1</v>
      </c>
      <c r="C9" s="10" t="inlineStr">
        <is>
          <t>Du Norte Comercio</t>
        </is>
      </c>
      <c r="D9" s="36" t="inlineStr">
        <is>
          <t>Manaus/AM</t>
        </is>
      </c>
      <c r="E9" s="11" t="inlineStr">
        <is>
          <t>bloco, areia e brita</t>
        </is>
      </c>
      <c r="F9" s="37" t="n"/>
      <c r="G9" s="37" t="n"/>
      <c r="H9" s="38" t="n"/>
      <c r="I9" s="38" t="n"/>
      <c r="J9" s="37" t="n"/>
      <c r="K9" s="37" t="n"/>
      <c r="L9" s="37" t="n"/>
      <c r="M9" s="37" t="n"/>
    </row>
    <row r="10">
      <c r="A10" s="10" t="inlineStr">
        <is>
          <t>externo</t>
        </is>
      </c>
      <c r="B10" s="18" t="n">
        <v>2</v>
      </c>
      <c r="C10" s="10" t="inlineStr">
        <is>
          <t>Loja do Rei</t>
        </is>
      </c>
      <c r="D10" s="36" t="inlineStr">
        <is>
          <t>Manaus/AM</t>
        </is>
      </c>
      <c r="E10" s="11" t="inlineStr">
        <is>
          <t>bloco de concreto estrutural</t>
        </is>
      </c>
      <c r="F10" s="37" t="n"/>
      <c r="G10" s="37" t="n"/>
      <c r="H10" s="38" t="n"/>
      <c r="I10" s="38" t="n"/>
      <c r="J10" s="37" t="n"/>
      <c r="K10" s="37" t="n"/>
      <c r="L10" s="37" t="n"/>
      <c r="M10" s="37" t="n"/>
    </row>
    <row r="11">
      <c r="A11" s="10" t="inlineStr">
        <is>
          <t>externo</t>
        </is>
      </c>
      <c r="B11" s="18" t="n">
        <v>3</v>
      </c>
      <c r="C11" s="10" t="inlineStr">
        <is>
          <t>O K Representacao de Material de Construcao</t>
        </is>
      </c>
      <c r="D11" s="36" t="inlineStr">
        <is>
          <t>Manaus/AM</t>
        </is>
      </c>
      <c r="E11" s="11" t="inlineStr">
        <is>
          <t>representacao e distribuicao</t>
        </is>
      </c>
      <c r="F11" s="37" t="n"/>
      <c r="G11" s="37" t="n"/>
      <c r="H11" s="38" t="n"/>
      <c r="I11" s="38" t="n"/>
      <c r="J11" s="37" t="n"/>
      <c r="K11" s="37" t="n"/>
      <c r="L11" s="37" t="n"/>
      <c r="M11" s="37" t="n"/>
    </row>
    <row r="12">
      <c r="A12" s="10" t="inlineStr">
        <is>
          <t>externo</t>
        </is>
      </c>
      <c r="B12" s="18" t="n">
        <v>4</v>
      </c>
      <c r="C12" s="10" t="inlineStr">
        <is>
          <t>Portobello / Eliane / Portinari</t>
        </is>
      </c>
      <c r="D12" s="10" t="inlineStr">
        <is>
          <t>Nacional</t>
        </is>
      </c>
      <c r="E12" s="11" t="inlineStr">
        <is>
          <t>porcelanato externo</t>
        </is>
      </c>
      <c r="F12" s="37" t="n"/>
      <c r="G12" s="37" t="n"/>
      <c r="H12" s="38" t="n"/>
      <c r="I12" s="38" t="n"/>
      <c r="J12" s="37" t="n"/>
      <c r="K12" s="37" t="n"/>
      <c r="L12" s="37" t="n"/>
      <c r="M12" s="37" t="n"/>
    </row>
    <row r="13">
      <c r="A13" s="10" t="inlineStr">
        <is>
          <t>externo</t>
        </is>
      </c>
      <c r="B13" s="18" t="n">
        <v>5</v>
      </c>
      <c r="C13" s="10" t="inlineStr">
        <is>
          <t>Fabricantes de WPC (deck coextrudado)</t>
        </is>
      </c>
      <c r="D13" s="10" t="inlineStr">
        <is>
          <t>Nacional</t>
        </is>
      </c>
      <c r="E13" s="11" t="inlineStr">
        <is>
          <t>deck de madeira plastica</t>
        </is>
      </c>
      <c r="F13" s="37" t="n"/>
      <c r="G13" s="37" t="n"/>
      <c r="H13" s="38" t="n"/>
      <c r="I13" s="38" t="n"/>
      <c r="J13" s="37" t="n"/>
      <c r="K13" s="37" t="n"/>
      <c r="L13" s="37" t="n"/>
      <c r="M13" s="37" t="n"/>
    </row>
    <row r="14">
      <c r="A14" s="9" t="inlineStr">
        <is>
          <t>esquadria</t>
        </is>
      </c>
      <c r="B14" s="18" t="n">
        <v>1</v>
      </c>
      <c r="C14" s="10" t="inlineStr">
        <is>
          <t>Metalurgica Aluminova</t>
        </is>
      </c>
      <c r="D14" s="36" t="inlineStr">
        <is>
          <t>Manaus/AM</t>
        </is>
      </c>
      <c r="E14" s="11" t="inlineStr">
        <is>
          <t>esquadria de aluminio e vidro temperado, 21 anos de praca</t>
        </is>
      </c>
      <c r="F14" s="37" t="n"/>
      <c r="G14" s="37" t="n"/>
      <c r="H14" s="38" t="n"/>
      <c r="I14" s="38" t="n"/>
      <c r="J14" s="37" t="n"/>
      <c r="K14" s="37" t="n"/>
      <c r="L14" s="37" t="n"/>
      <c r="M14" s="37" t="n"/>
    </row>
    <row r="15">
      <c r="A15" s="10" t="inlineStr">
        <is>
          <t>esquadria</t>
        </is>
      </c>
      <c r="B15" s="18" t="n">
        <v>2</v>
      </c>
      <c r="C15" s="10" t="inlineStr">
        <is>
          <t>Esquadrias Alufynestra</t>
        </is>
      </c>
      <c r="D15" s="36" t="inlineStr">
        <is>
          <t>Manaus/AM</t>
        </is>
      </c>
      <c r="E15" s="11" t="inlineStr">
        <is>
          <t>esquadria de aluminio</t>
        </is>
      </c>
      <c r="F15" s="37" t="n"/>
      <c r="G15" s="37" t="n"/>
      <c r="H15" s="38" t="n"/>
      <c r="I15" s="38" t="n"/>
      <c r="J15" s="37" t="n"/>
      <c r="K15" s="37" t="n"/>
      <c r="L15" s="37" t="n"/>
      <c r="M15" s="37" t="n"/>
    </row>
    <row r="16">
      <c r="A16" s="10" t="inlineStr">
        <is>
          <t>esquadria</t>
        </is>
      </c>
      <c r="B16" s="18" t="n">
        <v>3</v>
      </c>
      <c r="C16" s="10" t="inlineStr">
        <is>
          <t>Serralheria e Vidracaria Lopes</t>
        </is>
      </c>
      <c r="D16" s="36" t="inlineStr">
        <is>
          <t>Manaus/AM</t>
        </is>
      </c>
      <c r="E16" s="11" t="inlineStr">
        <is>
          <t>aluminio e temperado</t>
        </is>
      </c>
      <c r="F16" s="37" t="n"/>
      <c r="G16" s="37" t="n"/>
      <c r="H16" s="38" t="n"/>
      <c r="I16" s="38" t="n"/>
      <c r="J16" s="37" t="n"/>
      <c r="K16" s="37" t="n"/>
      <c r="L16" s="37" t="n"/>
      <c r="M16" s="37" t="n"/>
    </row>
    <row r="17">
      <c r="A17" s="10" t="inlineStr">
        <is>
          <t>esquadria</t>
        </is>
      </c>
      <c r="B17" s="18" t="n">
        <v>4</v>
      </c>
      <c r="C17" s="10" t="inlineStr">
        <is>
          <t>Fabrica da Esquadria</t>
        </is>
      </c>
      <c r="D17" s="10" t="inlineStr">
        <is>
          <t>Nacional</t>
        </is>
      </c>
      <c r="E17" s="11" t="inlineStr">
        <is>
          <t>linha Suprema</t>
        </is>
      </c>
      <c r="F17" s="37" t="n"/>
      <c r="G17" s="37" t="n"/>
      <c r="H17" s="38" t="n"/>
      <c r="I17" s="38" t="n"/>
      <c r="J17" s="37" t="n"/>
      <c r="K17" s="37" t="n"/>
      <c r="L17" s="37" t="n"/>
      <c r="M17" s="37" t="n"/>
    </row>
    <row r="18">
      <c r="A18" s="10" t="inlineStr">
        <is>
          <t>esquadria</t>
        </is>
      </c>
      <c r="B18" s="18" t="n">
        <v>5</v>
      </c>
      <c r="C18" s="10" t="inlineStr">
        <is>
          <t>Gold Esquadrias</t>
        </is>
      </c>
      <c r="D18" s="10" t="inlineStr">
        <is>
          <t>Nacional</t>
        </is>
      </c>
      <c r="E18" s="11" t="inlineStr">
        <is>
          <t>linha Suprema</t>
        </is>
      </c>
      <c r="F18" s="37" t="n"/>
      <c r="G18" s="37" t="n"/>
      <c r="H18" s="38" t="n"/>
      <c r="I18" s="38" t="n"/>
      <c r="J18" s="37" t="n"/>
      <c r="K18" s="37" t="n"/>
      <c r="L18" s="37" t="n"/>
      <c r="M18" s="37" t="n"/>
    </row>
    <row r="19">
      <c r="A19" s="9" t="inlineStr">
        <is>
          <t>fachada</t>
        </is>
      </c>
      <c r="B19" s="18" t="n">
        <v>1</v>
      </c>
      <c r="C19" s="10" t="inlineStr">
        <is>
          <t>Metalurgica Aluminova</t>
        </is>
      </c>
      <c r="D19" s="36" t="inlineStr">
        <is>
          <t>Manaus/AM</t>
        </is>
      </c>
      <c r="E19" s="11" t="inlineStr">
        <is>
          <t>ripado e brise em aluminio</t>
        </is>
      </c>
      <c r="F19" s="37" t="n"/>
      <c r="G19" s="37" t="n"/>
      <c r="H19" s="38" t="n"/>
      <c r="I19" s="38" t="n"/>
      <c r="J19" s="37" t="n"/>
      <c r="K19" s="37" t="n"/>
      <c r="L19" s="37" t="n"/>
      <c r="M19" s="37" t="n"/>
    </row>
    <row r="20">
      <c r="A20" s="10" t="inlineStr">
        <is>
          <t>fachada</t>
        </is>
      </c>
      <c r="B20" s="18" t="n">
        <v>2</v>
      </c>
      <c r="C20" s="10" t="inlineStr">
        <is>
          <t>Alubrasil / Hydro</t>
        </is>
      </c>
      <c r="D20" s="10" t="inlineStr">
        <is>
          <t>Nacional</t>
        </is>
      </c>
      <c r="E20" s="11" t="inlineStr">
        <is>
          <t>perfil de aluminio extrudado</t>
        </is>
      </c>
      <c r="F20" s="37" t="n"/>
      <c r="G20" s="37" t="n"/>
      <c r="H20" s="38" t="n"/>
      <c r="I20" s="38" t="n"/>
      <c r="J20" s="37" t="n"/>
      <c r="K20" s="37" t="n"/>
      <c r="L20" s="37" t="n"/>
      <c r="M20" s="37" t="n"/>
    </row>
    <row r="21">
      <c r="A21" s="10" t="inlineStr">
        <is>
          <t>fachada</t>
        </is>
      </c>
      <c r="B21" s="18" t="n">
        <v>3</v>
      </c>
      <c r="C21" s="10" t="inlineStr">
        <is>
          <t>Fabricantes de brise movel</t>
        </is>
      </c>
      <c r="D21" s="10" t="inlineStr">
        <is>
          <t>Nacional</t>
        </is>
      </c>
      <c r="E21" s="11" t="inlineStr">
        <is>
          <t>mecanismo e guia</t>
        </is>
      </c>
      <c r="F21" s="37" t="n"/>
      <c r="G21" s="37" t="n"/>
      <c r="H21" s="38" t="n"/>
      <c r="I21" s="38" t="n"/>
      <c r="J21" s="37" t="n"/>
      <c r="K21" s="37" t="n"/>
      <c r="L21" s="37" t="n"/>
      <c r="M21" s="37" t="n"/>
    </row>
    <row r="22">
      <c r="A22" s="10" t="inlineStr">
        <is>
          <t>fachada</t>
        </is>
      </c>
      <c r="B22" s="18" t="n">
        <v>4</v>
      </c>
      <c r="C22" s="10" t="inlineStr">
        <is>
          <t>Serralherias de Manaus</t>
        </is>
      </c>
      <c r="D22" s="36" t="inlineStr">
        <is>
          <t>Manaus/AM</t>
        </is>
      </c>
      <c r="E22" s="11" t="inlineStr">
        <is>
          <t>montagem e fixacao</t>
        </is>
      </c>
      <c r="F22" s="37" t="n"/>
      <c r="G22" s="37" t="n"/>
      <c r="H22" s="38" t="n"/>
      <c r="I22" s="38" t="n"/>
      <c r="J22" s="37" t="n"/>
      <c r="K22" s="37" t="n"/>
      <c r="L22" s="37" t="n"/>
      <c r="M22" s="37" t="n"/>
    </row>
    <row r="23">
      <c r="A23" s="10" t="inlineStr">
        <is>
          <t>fachada</t>
        </is>
      </c>
      <c r="B23" s="18" t="n">
        <v>5</v>
      </c>
      <c r="C23" s="10" t="inlineStr">
        <is>
          <t>Esquadrias Alufynestra</t>
        </is>
      </c>
      <c r="D23" s="36" t="inlineStr">
        <is>
          <t>Manaus/AM</t>
        </is>
      </c>
      <c r="E23" s="11" t="inlineStr">
        <is>
          <t>perfis e acabamento</t>
        </is>
      </c>
      <c r="F23" s="37" t="n"/>
      <c r="G23" s="37" t="n"/>
      <c r="H23" s="38" t="n"/>
      <c r="I23" s="38" t="n"/>
      <c r="J23" s="37" t="n"/>
      <c r="K23" s="37" t="n"/>
      <c r="L23" s="37" t="n"/>
      <c r="M23" s="37" t="n"/>
    </row>
    <row r="24">
      <c r="A24" s="9" t="inlineStr">
        <is>
          <t>marcenaria</t>
        </is>
      </c>
      <c r="B24" s="18" t="n">
        <v>1</v>
      </c>
      <c r="C24" s="10" t="inlineStr">
        <is>
          <t>Marcenarias de Manaus</t>
        </is>
      </c>
      <c r="D24" s="36" t="inlineStr">
        <is>
          <t>Manaus/AM</t>
        </is>
      </c>
      <c r="E24" s="11" t="inlineStr">
        <is>
          <t>movel sob medida</t>
        </is>
      </c>
      <c r="F24" s="37" t="n"/>
      <c r="G24" s="37" t="n"/>
      <c r="H24" s="38" t="n"/>
      <c r="I24" s="38" t="n"/>
      <c r="J24" s="37" t="n"/>
      <c r="K24" s="37" t="n"/>
      <c r="L24" s="37" t="n"/>
      <c r="M24" s="37" t="n"/>
    </row>
    <row r="25">
      <c r="A25" s="10" t="inlineStr">
        <is>
          <t>marcenaria</t>
        </is>
      </c>
      <c r="B25" s="18" t="n">
        <v>2</v>
      </c>
      <c r="C25" s="10" t="inlineStr">
        <is>
          <t>Todeschini / Dell Anno</t>
        </is>
      </c>
      <c r="D25" s="10" t="inlineStr">
        <is>
          <t>Nacional</t>
        </is>
      </c>
      <c r="E25" s="11" t="inlineStr">
        <is>
          <t>movel planejado, rede</t>
        </is>
      </c>
      <c r="F25" s="37" t="n"/>
      <c r="G25" s="37" t="n"/>
      <c r="H25" s="38" t="n"/>
      <c r="I25" s="38" t="n"/>
      <c r="J25" s="37" t="n"/>
      <c r="K25" s="37" t="n"/>
      <c r="L25" s="37" t="n"/>
      <c r="M25" s="37" t="n"/>
    </row>
    <row r="26">
      <c r="A26" s="10" t="inlineStr">
        <is>
          <t>marcenaria</t>
        </is>
      </c>
      <c r="B26" s="18" t="n">
        <v>3</v>
      </c>
      <c r="C26" s="10" t="inlineStr">
        <is>
          <t>Italinea / Favorita</t>
        </is>
      </c>
      <c r="D26" s="10" t="inlineStr">
        <is>
          <t>Nacional</t>
        </is>
      </c>
      <c r="E26" s="11" t="inlineStr">
        <is>
          <t>movel planejado</t>
        </is>
      </c>
      <c r="F26" s="37" t="n"/>
      <c r="G26" s="37" t="n"/>
      <c r="H26" s="38" t="n"/>
      <c r="I26" s="38" t="n"/>
      <c r="J26" s="37" t="n"/>
      <c r="K26" s="37" t="n"/>
      <c r="L26" s="37" t="n"/>
      <c r="M26" s="37" t="n"/>
    </row>
    <row r="27">
      <c r="A27" s="10" t="inlineStr">
        <is>
          <t>marcenaria</t>
        </is>
      </c>
      <c r="B27" s="18" t="n">
        <v>4</v>
      </c>
      <c r="C27" s="10" t="inlineStr">
        <is>
          <t>Marmorarias de Manaus</t>
        </is>
      </c>
      <c r="D27" s="36" t="inlineStr">
        <is>
          <t>Manaus/AM</t>
        </is>
      </c>
      <c r="E27" s="11" t="inlineStr">
        <is>
          <t>tampo em quartzo e granito</t>
        </is>
      </c>
      <c r="F27" s="37" t="n"/>
      <c r="G27" s="37" t="n"/>
      <c r="H27" s="38" t="n"/>
      <c r="I27" s="38" t="n"/>
      <c r="J27" s="37" t="n"/>
      <c r="K27" s="37" t="n"/>
      <c r="L27" s="37" t="n"/>
      <c r="M27" s="37" t="n"/>
    </row>
    <row r="28">
      <c r="A28" s="10" t="inlineStr">
        <is>
          <t>marcenaria</t>
        </is>
      </c>
      <c r="B28" s="18" t="n">
        <v>5</v>
      </c>
      <c r="C28" s="10" t="inlineStr">
        <is>
          <t>Duratex / Guararapes</t>
        </is>
      </c>
      <c r="D28" s="10" t="inlineStr">
        <is>
          <t>Nacional</t>
        </is>
      </c>
      <c r="E28" s="11" t="inlineStr">
        <is>
          <t>MDF, fabricante de chapa</t>
        </is>
      </c>
      <c r="F28" s="37" t="n"/>
      <c r="G28" s="37" t="n"/>
      <c r="H28" s="38" t="n"/>
      <c r="I28" s="38" t="n"/>
      <c r="J28" s="37" t="n"/>
      <c r="K28" s="37" t="n"/>
      <c r="L28" s="37" t="n"/>
      <c r="M28" s="37" t="n"/>
    </row>
    <row r="29">
      <c r="A29" s="9" t="inlineStr">
        <is>
          <t>eletrica</t>
        </is>
      </c>
      <c r="B29" s="18" t="n">
        <v>1</v>
      </c>
      <c r="C29" s="10" t="inlineStr">
        <is>
          <t>Schneider / Pial Legrand</t>
        </is>
      </c>
      <c r="D29" s="10" t="inlineStr">
        <is>
          <t>Nacional</t>
        </is>
      </c>
      <c r="E29" s="11" t="inlineStr">
        <is>
          <t>tomada, interruptor e placa</t>
        </is>
      </c>
      <c r="F29" s="37" t="n"/>
      <c r="G29" s="37" t="n"/>
      <c r="H29" s="38" t="n"/>
      <c r="I29" s="38" t="n"/>
      <c r="J29" s="37" t="n"/>
      <c r="K29" s="37" t="n"/>
      <c r="L29" s="37" t="n"/>
      <c r="M29" s="37" t="n"/>
    </row>
    <row r="30">
      <c r="A30" s="10" t="inlineStr">
        <is>
          <t>eletrica</t>
        </is>
      </c>
      <c r="B30" s="18" t="n">
        <v>2</v>
      </c>
      <c r="C30" s="10" t="inlineStr">
        <is>
          <t>Steck</t>
        </is>
      </c>
      <c r="D30" s="10" t="inlineStr">
        <is>
          <t>Nacional</t>
        </is>
      </c>
      <c r="E30" s="11" t="inlineStr">
        <is>
          <t>dispositivos e quadros</t>
        </is>
      </c>
      <c r="F30" s="37" t="n"/>
      <c r="G30" s="37" t="n"/>
      <c r="H30" s="38" t="n"/>
      <c r="I30" s="38" t="n"/>
      <c r="J30" s="37" t="n"/>
      <c r="K30" s="37" t="n"/>
      <c r="L30" s="37" t="n"/>
      <c r="M30" s="37" t="n"/>
    </row>
    <row r="31">
      <c r="A31" s="10" t="inlineStr">
        <is>
          <t>eletrica</t>
        </is>
      </c>
      <c r="B31" s="18" t="n">
        <v>3</v>
      </c>
      <c r="C31" s="10" t="inlineStr">
        <is>
          <t>WEG</t>
        </is>
      </c>
      <c r="D31" s="10" t="inlineStr">
        <is>
          <t>Nacional</t>
        </is>
      </c>
      <c r="E31" s="11" t="inlineStr">
        <is>
          <t>disjuntor, DR e DPS</t>
        </is>
      </c>
      <c r="F31" s="37" t="n"/>
      <c r="G31" s="37" t="n"/>
      <c r="H31" s="38" t="n"/>
      <c r="I31" s="38" t="n"/>
      <c r="J31" s="37" t="n"/>
      <c r="K31" s="37" t="n"/>
      <c r="L31" s="37" t="n"/>
      <c r="M31" s="37" t="n"/>
    </row>
    <row r="32">
      <c r="A32" s="10" t="inlineStr">
        <is>
          <t>eletrica</t>
        </is>
      </c>
      <c r="B32" s="18" t="n">
        <v>4</v>
      </c>
      <c r="C32" s="10" t="inlineStr">
        <is>
          <t>Philips / Osram / Stella</t>
        </is>
      </c>
      <c r="D32" s="10" t="inlineStr">
        <is>
          <t>Nacional</t>
        </is>
      </c>
      <c r="E32" s="11" t="inlineStr">
        <is>
          <t>luminaria LED</t>
        </is>
      </c>
      <c r="F32" s="37" t="n"/>
      <c r="G32" s="37" t="n"/>
      <c r="H32" s="38" t="n"/>
      <c r="I32" s="38" t="n"/>
      <c r="J32" s="37" t="n"/>
      <c r="K32" s="37" t="n"/>
      <c r="L32" s="37" t="n"/>
      <c r="M32" s="37" t="n"/>
    </row>
    <row r="33">
      <c r="A33" s="10" t="inlineStr">
        <is>
          <t>eletrica</t>
        </is>
      </c>
      <c r="B33" s="18" t="n">
        <v>5</v>
      </c>
      <c r="C33" s="10" t="inlineStr">
        <is>
          <t>Distribuidores eletricos de Manaus</t>
        </is>
      </c>
      <c r="D33" s="36" t="inlineStr">
        <is>
          <t>Manaus/AM</t>
        </is>
      </c>
      <c r="E33" s="11" t="inlineStr">
        <is>
          <t>material eletrico</t>
        </is>
      </c>
      <c r="F33" s="37" t="n"/>
      <c r="G33" s="37" t="n"/>
      <c r="H33" s="38" t="n"/>
      <c r="I33" s="38" t="n"/>
      <c r="J33" s="37" t="n"/>
      <c r="K33" s="37" t="n"/>
      <c r="L33" s="37" t="n"/>
      <c r="M33" s="37" t="n"/>
    </row>
    <row r="34">
      <c r="A34" s="9" t="inlineStr">
        <is>
          <t>revestimento</t>
        </is>
      </c>
      <c r="B34" s="18" t="n">
        <v>1</v>
      </c>
      <c r="C34" s="10" t="inlineStr">
        <is>
          <t>Du Norte Comercio</t>
        </is>
      </c>
      <c r="D34" s="36" t="inlineStr">
        <is>
          <t>Manaus/AM</t>
        </is>
      </c>
      <c r="E34" s="11" t="inlineStr">
        <is>
          <t>porcelanato, argamassa e rejunte</t>
        </is>
      </c>
      <c r="F34" s="37" t="n"/>
      <c r="G34" s="37" t="n"/>
      <c r="H34" s="38" t="n"/>
      <c r="I34" s="38" t="n"/>
      <c r="J34" s="37" t="n"/>
      <c r="K34" s="37" t="n"/>
      <c r="L34" s="37" t="n"/>
      <c r="M34" s="37" t="n"/>
    </row>
    <row r="35">
      <c r="A35" s="10" t="inlineStr">
        <is>
          <t>revestimento</t>
        </is>
      </c>
      <c r="B35" s="18" t="n">
        <v>2</v>
      </c>
      <c r="C35" s="10" t="inlineStr">
        <is>
          <t>Loja do Rei</t>
        </is>
      </c>
      <c r="D35" s="36" t="inlineStr">
        <is>
          <t>Manaus/AM</t>
        </is>
      </c>
      <c r="E35" s="11" t="inlineStr">
        <is>
          <t>revestimento e assentamento</t>
        </is>
      </c>
      <c r="F35" s="37" t="n"/>
      <c r="G35" s="37" t="n"/>
      <c r="H35" s="38" t="n"/>
      <c r="I35" s="38" t="n"/>
      <c r="J35" s="37" t="n"/>
      <c r="K35" s="37" t="n"/>
      <c r="L35" s="37" t="n"/>
      <c r="M35" s="37" t="n"/>
    </row>
    <row r="36">
      <c r="A36" s="10" t="inlineStr">
        <is>
          <t>revestimento</t>
        </is>
      </c>
      <c r="B36" s="18" t="n">
        <v>3</v>
      </c>
      <c r="C36" s="10" t="inlineStr">
        <is>
          <t>Bacuri Materiais</t>
        </is>
      </c>
      <c r="D36" s="36" t="inlineStr">
        <is>
          <t>Manaus/AM</t>
        </is>
      </c>
      <c r="E36" s="11" t="inlineStr">
        <is>
          <t>revestimento</t>
        </is>
      </c>
      <c r="F36" s="37" t="n"/>
      <c r="G36" s="37" t="n"/>
      <c r="H36" s="38" t="n"/>
      <c r="I36" s="38" t="n"/>
      <c r="J36" s="37" t="n"/>
      <c r="K36" s="37" t="n"/>
      <c r="L36" s="37" t="n"/>
      <c r="M36" s="37" t="n"/>
    </row>
    <row r="37">
      <c r="A37" s="10" t="inlineStr">
        <is>
          <t>revestimento</t>
        </is>
      </c>
      <c r="B37" s="18" t="n">
        <v>4</v>
      </c>
      <c r="C37" s="10" t="inlineStr">
        <is>
          <t>Portobello / Eliane / Portinari</t>
        </is>
      </c>
      <c r="D37" s="10" t="inlineStr">
        <is>
          <t>Nacional</t>
        </is>
      </c>
      <c r="E37" s="11" t="inlineStr">
        <is>
          <t>porcelanato, fabricante</t>
        </is>
      </c>
      <c r="F37" s="37" t="n"/>
      <c r="G37" s="37" t="n"/>
      <c r="H37" s="38" t="n"/>
      <c r="I37" s="38" t="n"/>
      <c r="J37" s="37" t="n"/>
      <c r="K37" s="37" t="n"/>
      <c r="L37" s="37" t="n"/>
      <c r="M37" s="37" t="n"/>
    </row>
    <row r="38">
      <c r="A38" s="10" t="inlineStr">
        <is>
          <t>revestimento</t>
        </is>
      </c>
      <c r="B38" s="18" t="n">
        <v>5</v>
      </c>
      <c r="C38" s="10" t="inlineStr">
        <is>
          <t>Quartzolit / Votomassa</t>
        </is>
      </c>
      <c r="D38" s="10" t="inlineStr">
        <is>
          <t>Nacional</t>
        </is>
      </c>
      <c r="E38" s="11" t="inlineStr">
        <is>
          <t>argamassa colante e rejunte</t>
        </is>
      </c>
      <c r="F38" s="37" t="n"/>
      <c r="G38" s="37" t="n"/>
      <c r="H38" s="38" t="n"/>
      <c r="I38" s="38" t="n"/>
      <c r="J38" s="37" t="n"/>
      <c r="K38" s="37" t="n"/>
      <c r="L38" s="37" t="n"/>
      <c r="M38" s="37" t="n"/>
    </row>
    <row r="39">
      <c r="A39" s="9" t="inlineStr">
        <is>
          <t>fundacao</t>
        </is>
      </c>
      <c r="B39" s="18" t="n">
        <v>1</v>
      </c>
      <c r="C39" s="10" t="inlineStr">
        <is>
          <t>Du Norte Comercio</t>
        </is>
      </c>
      <c r="D39" s="36" t="inlineStr">
        <is>
          <t>Manaus/AM</t>
        </is>
      </c>
      <c r="E39" s="11" t="inlineStr">
        <is>
          <t>cimento, areia e brita</t>
        </is>
      </c>
      <c r="F39" s="37" t="n"/>
      <c r="G39" s="37" t="n"/>
      <c r="H39" s="38" t="n"/>
      <c r="I39" s="38" t="n"/>
      <c r="J39" s="37" t="n"/>
      <c r="K39" s="37" t="n"/>
      <c r="L39" s="37" t="n"/>
      <c r="M39" s="37" t="n"/>
    </row>
    <row r="40">
      <c r="A40" s="10" t="inlineStr">
        <is>
          <t>fundacao</t>
        </is>
      </c>
      <c r="B40" s="18" t="n">
        <v>2</v>
      </c>
      <c r="C40" s="10" t="inlineStr">
        <is>
          <t>Loja do Rei Comercio de Material de Construcao</t>
        </is>
      </c>
      <c r="D40" s="36" t="inlineStr">
        <is>
          <t>Manaus/AM</t>
        </is>
      </c>
      <c r="E40" s="11" t="inlineStr">
        <is>
          <t>maior faturamento do setor na praca</t>
        </is>
      </c>
      <c r="F40" s="37" t="n"/>
      <c r="G40" s="37" t="n"/>
      <c r="H40" s="38" t="n"/>
      <c r="I40" s="38" t="n"/>
      <c r="J40" s="37" t="n"/>
      <c r="K40" s="37" t="n"/>
      <c r="L40" s="37" t="n"/>
      <c r="M40" s="37" t="n"/>
    </row>
    <row r="41">
      <c r="A41" s="10" t="inlineStr">
        <is>
          <t>fundacao</t>
        </is>
      </c>
      <c r="B41" s="18" t="n">
        <v>3</v>
      </c>
      <c r="C41" s="10" t="inlineStr">
        <is>
          <t>Bacuri Madeiras e Material de Construcao</t>
        </is>
      </c>
      <c r="D41" s="36" t="inlineStr">
        <is>
          <t>Manaus/AM</t>
        </is>
      </c>
      <c r="E41" s="11" t="inlineStr">
        <is>
          <t>insumos</t>
        </is>
      </c>
      <c r="F41" s="37" t="n"/>
      <c r="G41" s="37" t="n"/>
      <c r="H41" s="38" t="n"/>
      <c r="I41" s="38" t="n"/>
      <c r="J41" s="37" t="n"/>
      <c r="K41" s="37" t="n"/>
      <c r="L41" s="37" t="n"/>
      <c r="M41" s="37" t="n"/>
    </row>
    <row r="42">
      <c r="A42" s="10" t="inlineStr">
        <is>
          <t>fundacao</t>
        </is>
      </c>
      <c r="B42" s="18" t="n">
        <v>4</v>
      </c>
      <c r="C42" s="10" t="inlineStr">
        <is>
          <t>Concreteiras locais (usinas de Manaus)</t>
        </is>
      </c>
      <c r="D42" s="36" t="inlineStr">
        <is>
          <t>Manaus/AM</t>
        </is>
      </c>
      <c r="E42" s="11" t="inlineStr">
        <is>
          <t>concreto usinado fck 30 com bombeamento</t>
        </is>
      </c>
      <c r="F42" s="37" t="n"/>
      <c r="G42" s="37" t="n"/>
      <c r="H42" s="38" t="n"/>
      <c r="I42" s="38" t="n"/>
      <c r="J42" s="37" t="n"/>
      <c r="K42" s="37" t="n"/>
      <c r="L42" s="37" t="n"/>
      <c r="M42" s="37" t="n"/>
    </row>
    <row r="43">
      <c r="A43" s="10" t="inlineStr">
        <is>
          <t>fundacao</t>
        </is>
      </c>
      <c r="B43" s="18" t="n">
        <v>5</v>
      </c>
      <c r="C43" s="10" t="inlineStr">
        <is>
          <t>Gerdau / ArcelorMittal</t>
        </is>
      </c>
      <c r="D43" s="10" t="inlineStr">
        <is>
          <t>Nacional</t>
        </is>
      </c>
      <c r="E43" s="11" t="inlineStr">
        <is>
          <t>aco CA-50 e tela soldada</t>
        </is>
      </c>
      <c r="F43" s="37" t="n"/>
      <c r="G43" s="37" t="n"/>
      <c r="H43" s="38" t="n"/>
      <c r="I43" s="38" t="n"/>
      <c r="J43" s="37" t="n"/>
      <c r="K43" s="37" t="n"/>
      <c r="L43" s="37" t="n"/>
      <c r="M43" s="37" t="n"/>
    </row>
    <row r="44">
      <c r="A44" s="9" t="inlineStr">
        <is>
          <t>estrutura</t>
        </is>
      </c>
      <c r="B44" s="18" t="n">
        <v>1</v>
      </c>
      <c r="C44" s="10" t="inlineStr">
        <is>
          <t>Tecnoframe</t>
        </is>
      </c>
      <c r="D44" s="36" t="inlineStr">
        <is>
          <t>Manaus/AM</t>
        </is>
      </c>
      <c r="E44" s="11" t="inlineStr">
        <is>
          <t>perfis LSF, fabricante com atuacao local</t>
        </is>
      </c>
      <c r="F44" s="37" t="n"/>
      <c r="G44" s="37" t="n"/>
      <c r="H44" s="38" t="n"/>
      <c r="I44" s="38" t="n"/>
      <c r="J44" s="37" t="n"/>
      <c r="K44" s="37" t="n"/>
      <c r="L44" s="37" t="n"/>
      <c r="M44" s="37" t="n"/>
    </row>
    <row r="45">
      <c r="A45" s="10" t="inlineStr">
        <is>
          <t>estrutura</t>
        </is>
      </c>
      <c r="B45" s="18" t="n">
        <v>2</v>
      </c>
      <c r="C45" s="10" t="inlineStr">
        <is>
          <t>Barbieri do Brasil</t>
        </is>
      </c>
      <c r="D45" s="10" t="inlineStr">
        <is>
          <t>Nacional</t>
        </is>
      </c>
      <c r="E45" s="11" t="inlineStr">
        <is>
          <t>perfis galvanizados LSF e drywall</t>
        </is>
      </c>
      <c r="F45" s="37" t="n"/>
      <c r="G45" s="37" t="n"/>
      <c r="H45" s="38" t="n"/>
      <c r="I45" s="38" t="n"/>
      <c r="J45" s="37" t="n"/>
      <c r="K45" s="37" t="n"/>
      <c r="L45" s="37" t="n"/>
      <c r="M45" s="37" t="n"/>
    </row>
    <row r="46">
      <c r="A46" s="10" t="inlineStr">
        <is>
          <t>estrutura</t>
        </is>
      </c>
      <c r="B46" s="18" t="n">
        <v>3</v>
      </c>
      <c r="C46" s="10" t="inlineStr">
        <is>
          <t>Multiperfil</t>
        </is>
      </c>
      <c r="D46" s="10" t="inlineStr">
        <is>
          <t>Nacional</t>
        </is>
      </c>
      <c r="E46" s="11" t="inlineStr">
        <is>
          <t>perfis LSF, venda por distribuidor</t>
        </is>
      </c>
      <c r="F46" s="37" t="n"/>
      <c r="G46" s="37" t="n"/>
      <c r="H46" s="38" t="n"/>
      <c r="I46" s="38" t="n"/>
      <c r="J46" s="37" t="n"/>
      <c r="K46" s="37" t="n"/>
      <c r="L46" s="37" t="n"/>
      <c r="M46" s="37" t="n"/>
    </row>
    <row r="47">
      <c r="A47" s="10" t="inlineStr">
        <is>
          <t>estrutura</t>
        </is>
      </c>
      <c r="B47" s="18" t="n">
        <v>4</v>
      </c>
      <c r="C47" s="10" t="inlineStr">
        <is>
          <t>Deville Kerr</t>
        </is>
      </c>
      <c r="D47" s="10" t="inlineStr">
        <is>
          <t>Nacional</t>
        </is>
      </c>
      <c r="E47" s="11" t="inlineStr">
        <is>
          <t>perfis LSF direto de fabrica</t>
        </is>
      </c>
      <c r="F47" s="37" t="n"/>
      <c r="G47" s="37" t="n"/>
      <c r="H47" s="38" t="n"/>
      <c r="I47" s="38" t="n"/>
      <c r="J47" s="37" t="n"/>
      <c r="K47" s="37" t="n"/>
      <c r="L47" s="37" t="n"/>
      <c r="M47" s="37" t="n"/>
    </row>
    <row r="48">
      <c r="A48" s="10" t="inlineStr">
        <is>
          <t>estrutura</t>
        </is>
      </c>
      <c r="B48" s="18" t="n">
        <v>5</v>
      </c>
      <c r="C48" s="10" t="inlineStr">
        <is>
          <t>Alge Steel / Alge Metalurgica</t>
        </is>
      </c>
      <c r="D48" s="10" t="inlineStr">
        <is>
          <t>Nacional</t>
        </is>
      </c>
      <c r="E48" s="11" t="inlineStr">
        <is>
          <t>perfis steel frame</t>
        </is>
      </c>
      <c r="F48" s="37" t="n"/>
      <c r="G48" s="37" t="n"/>
      <c r="H48" s="38" t="n"/>
      <c r="I48" s="38" t="n"/>
      <c r="J48" s="37" t="n"/>
      <c r="K48" s="37" t="n"/>
      <c r="L48" s="37" t="n"/>
      <c r="M48" s="37" t="n"/>
    </row>
    <row r="49">
      <c r="A49" s="10" t="inlineStr">
        <is>
          <t>estrutura</t>
        </is>
      </c>
      <c r="B49" s="18" t="n">
        <v>6</v>
      </c>
      <c r="C49" s="10" t="inlineStr">
        <is>
          <t>MPS Steel</t>
        </is>
      </c>
      <c r="D49" s="10" t="inlineStr">
        <is>
          <t>Nacional</t>
        </is>
      </c>
      <c r="E49" s="11" t="inlineStr">
        <is>
          <t>fabricacao e fornecimento de perfis</t>
        </is>
      </c>
      <c r="F49" s="37" t="n"/>
      <c r="G49" s="37" t="n"/>
      <c r="H49" s="38" t="n"/>
      <c r="I49" s="38" t="n"/>
      <c r="J49" s="37" t="n"/>
      <c r="K49" s="37" t="n"/>
      <c r="L49" s="37" t="n"/>
      <c r="M49" s="37" t="n"/>
    </row>
    <row r="50">
      <c r="A50" s="9" t="inlineStr">
        <is>
          <t>instalacao</t>
        </is>
      </c>
      <c r="B50" s="18" t="n">
        <v>1</v>
      </c>
      <c r="C50" s="10" t="inlineStr">
        <is>
          <t>Du Norte Comercio</t>
        </is>
      </c>
      <c r="D50" s="36" t="inlineStr">
        <is>
          <t>Manaus/AM</t>
        </is>
      </c>
      <c r="E50" s="11" t="inlineStr">
        <is>
          <t>tubo, conexao e eletroduto</t>
        </is>
      </c>
      <c r="F50" s="37" t="n"/>
      <c r="G50" s="37" t="n"/>
      <c r="H50" s="38" t="n"/>
      <c r="I50" s="38" t="n"/>
      <c r="J50" s="37" t="n"/>
      <c r="K50" s="37" t="n"/>
      <c r="L50" s="37" t="n"/>
      <c r="M50" s="37" t="n"/>
    </row>
    <row r="51">
      <c r="A51" s="10" t="inlineStr">
        <is>
          <t>instalacao</t>
        </is>
      </c>
      <c r="B51" s="18" t="n">
        <v>2</v>
      </c>
      <c r="C51" s="10" t="inlineStr">
        <is>
          <t>Tigre</t>
        </is>
      </c>
      <c r="D51" s="10" t="inlineStr">
        <is>
          <t>Nacional</t>
        </is>
      </c>
      <c r="E51" s="11" t="inlineStr">
        <is>
          <t>tubos e conexoes PVC</t>
        </is>
      </c>
      <c r="F51" s="37" t="n"/>
      <c r="G51" s="37" t="n"/>
      <c r="H51" s="38" t="n"/>
      <c r="I51" s="38" t="n"/>
      <c r="J51" s="37" t="n"/>
      <c r="K51" s="37" t="n"/>
      <c r="L51" s="37" t="n"/>
      <c r="M51" s="37" t="n"/>
    </row>
    <row r="52">
      <c r="A52" s="10" t="inlineStr">
        <is>
          <t>instalacao</t>
        </is>
      </c>
      <c r="B52" s="18" t="n">
        <v>3</v>
      </c>
      <c r="C52" s="10" t="inlineStr">
        <is>
          <t>Amanco / Wavin</t>
        </is>
      </c>
      <c r="D52" s="10" t="inlineStr">
        <is>
          <t>Nacional</t>
        </is>
      </c>
      <c r="E52" s="11" t="inlineStr">
        <is>
          <t>tubos e conexoes</t>
        </is>
      </c>
      <c r="F52" s="37" t="n"/>
      <c r="G52" s="37" t="n"/>
      <c r="H52" s="38" t="n"/>
      <c r="I52" s="38" t="n"/>
      <c r="J52" s="37" t="n"/>
      <c r="K52" s="37" t="n"/>
      <c r="L52" s="37" t="n"/>
      <c r="M52" s="37" t="n"/>
    </row>
    <row r="53">
      <c r="A53" s="10" t="inlineStr">
        <is>
          <t>instalacao</t>
        </is>
      </c>
      <c r="B53" s="18" t="n">
        <v>4</v>
      </c>
      <c r="C53" s="10" t="inlineStr">
        <is>
          <t>Prysmian / Cobrecom / Sil</t>
        </is>
      </c>
      <c r="D53" s="10" t="inlineStr">
        <is>
          <t>Nacional</t>
        </is>
      </c>
      <c r="E53" s="11" t="inlineStr">
        <is>
          <t>cabo de cobre</t>
        </is>
      </c>
      <c r="F53" s="37" t="n"/>
      <c r="G53" s="37" t="n"/>
      <c r="H53" s="38" t="n"/>
      <c r="I53" s="38" t="n"/>
      <c r="J53" s="37" t="n"/>
      <c r="K53" s="37" t="n"/>
      <c r="L53" s="37" t="n"/>
      <c r="M53" s="37" t="n"/>
    </row>
    <row r="54">
      <c r="A54" s="10" t="inlineStr">
        <is>
          <t>instalacao</t>
        </is>
      </c>
      <c r="B54" s="18" t="n">
        <v>5</v>
      </c>
      <c r="C54" s="10" t="inlineStr">
        <is>
          <t>Schneider / Siemens / Steck</t>
        </is>
      </c>
      <c r="D54" s="10" t="inlineStr">
        <is>
          <t>Nacional</t>
        </is>
      </c>
      <c r="E54" s="11" t="inlineStr">
        <is>
          <t>disjuntor e quadro</t>
        </is>
      </c>
      <c r="F54" s="37" t="n"/>
      <c r="G54" s="37" t="n"/>
      <c r="H54" s="38" t="n"/>
      <c r="I54" s="38" t="n"/>
      <c r="J54" s="37" t="n"/>
      <c r="K54" s="37" t="n"/>
      <c r="L54" s="37" t="n"/>
      <c r="M54" s="37" t="n"/>
    </row>
    <row r="55">
      <c r="A55" s="9" t="inlineStr">
        <is>
          <t>servico</t>
        </is>
      </c>
      <c r="B55" s="18" t="n">
        <v>1</v>
      </c>
      <c r="C55" s="10" t="inlineStr">
        <is>
          <t>Tecnoframe</t>
        </is>
      </c>
      <c r="D55" s="36" t="inlineStr">
        <is>
          <t>Manaus/AM</t>
        </is>
      </c>
      <c r="E55" s="11" t="inlineStr">
        <is>
          <t>fornecimento com montagem, praca local</t>
        </is>
      </c>
      <c r="F55" s="37" t="n"/>
      <c r="G55" s="37" t="n"/>
      <c r="H55" s="38" t="n"/>
      <c r="I55" s="38" t="n"/>
      <c r="J55" s="37" t="n"/>
      <c r="K55" s="37" t="n"/>
      <c r="L55" s="37" t="n"/>
      <c r="M55" s="37" t="n"/>
    </row>
    <row r="56">
      <c r="A56" s="10" t="inlineStr">
        <is>
          <t>servico</t>
        </is>
      </c>
      <c r="B56" s="18" t="n">
        <v>2</v>
      </c>
      <c r="C56" s="10" t="inlineStr">
        <is>
          <t>Barbieri do Brasil</t>
        </is>
      </c>
      <c r="D56" s="10" t="inlineStr">
        <is>
          <t>Nacional</t>
        </is>
      </c>
      <c r="E56" s="11" t="inlineStr">
        <is>
          <t>fornecimento; montagem por rede credenciada</t>
        </is>
      </c>
      <c r="F56" s="37" t="n"/>
      <c r="G56" s="37" t="n"/>
      <c r="H56" s="38" t="n"/>
      <c r="I56" s="38" t="n"/>
      <c r="J56" s="37" t="n"/>
      <c r="K56" s="37" t="n"/>
      <c r="L56" s="37" t="n"/>
      <c r="M56" s="37" t="n"/>
    </row>
    <row r="57">
      <c r="A57" s="10" t="inlineStr">
        <is>
          <t>servico</t>
        </is>
      </c>
      <c r="B57" s="18" t="n">
        <v>3</v>
      </c>
      <c r="C57" s="10" t="inlineStr">
        <is>
          <t>Naframe</t>
        </is>
      </c>
      <c r="D57" s="10" t="inlineStr">
        <is>
          <t>Nacional</t>
        </is>
      </c>
      <c r="E57" s="11" t="inlineStr">
        <is>
          <t>projeto, fornecimento e montagem</t>
        </is>
      </c>
      <c r="F57" s="37" t="n"/>
      <c r="G57" s="37" t="n"/>
      <c r="H57" s="38" t="n"/>
      <c r="I57" s="38" t="n"/>
      <c r="J57" s="37" t="n"/>
      <c r="K57" s="37" t="n"/>
      <c r="L57" s="37" t="n"/>
      <c r="M57" s="37" t="n"/>
    </row>
    <row r="58">
      <c r="A58" s="10" t="inlineStr">
        <is>
          <t>servico</t>
        </is>
      </c>
      <c r="B58" s="18" t="n">
        <v>4</v>
      </c>
      <c r="C58" s="10" t="inlineStr">
        <is>
          <t>MPS Steel</t>
        </is>
      </c>
      <c r="D58" s="10" t="inlineStr">
        <is>
          <t>Nacional</t>
        </is>
      </c>
      <c r="E58" s="11" t="inlineStr">
        <is>
          <t>fornecimento e montagem</t>
        </is>
      </c>
      <c r="F58" s="37" t="n"/>
      <c r="G58" s="37" t="n"/>
      <c r="H58" s="38" t="n"/>
      <c r="I58" s="38" t="n"/>
      <c r="J58" s="37" t="n"/>
      <c r="K58" s="37" t="n"/>
      <c r="L58" s="37" t="n"/>
      <c r="M58" s="37" t="n"/>
    </row>
    <row r="59">
      <c r="A59" s="10" t="inlineStr">
        <is>
          <t>servico</t>
        </is>
      </c>
      <c r="B59" s="18" t="n">
        <v>5</v>
      </c>
      <c r="C59" s="10" t="inlineStr">
        <is>
          <t>Alge Steel</t>
        </is>
      </c>
      <c r="D59" s="10" t="inlineStr">
        <is>
          <t>Nacional</t>
        </is>
      </c>
      <c r="E59" s="11" t="inlineStr">
        <is>
          <t>fornecimento; montagem por parceiro</t>
        </is>
      </c>
      <c r="F59" s="37" t="n"/>
      <c r="G59" s="37" t="n"/>
      <c r="H59" s="38" t="n"/>
      <c r="I59" s="38" t="n"/>
      <c r="J59" s="37" t="n"/>
      <c r="K59" s="37" t="n"/>
      <c r="L59" s="37" t="n"/>
      <c r="M59" s="37" t="n"/>
    </row>
    <row r="60">
      <c r="A60" s="9" t="inlineStr">
        <is>
          <t>pintura</t>
        </is>
      </c>
      <c r="B60" s="18" t="n">
        <v>1</v>
      </c>
      <c r="C60" s="10" t="inlineStr">
        <is>
          <t>Empreiteiras de pintura de Manaus</t>
        </is>
      </c>
      <c r="D60" s="36" t="inlineStr">
        <is>
          <t>Manaus/AM</t>
        </is>
      </c>
      <c r="E60" s="11" t="inlineStr">
        <is>
          <t>material e mao de obra</t>
        </is>
      </c>
      <c r="F60" s="37" t="n"/>
      <c r="G60" s="37" t="n"/>
      <c r="H60" s="38" t="n"/>
      <c r="I60" s="38" t="n"/>
      <c r="J60" s="37" t="n"/>
      <c r="K60" s="37" t="n"/>
      <c r="L60" s="37" t="n"/>
      <c r="M60" s="37" t="n"/>
    </row>
    <row r="61">
      <c r="A61" s="10" t="inlineStr">
        <is>
          <t>pintura</t>
        </is>
      </c>
      <c r="B61" s="18" t="n">
        <v>2</v>
      </c>
      <c r="C61" s="10" t="inlineStr">
        <is>
          <t>Suvinil / BASF</t>
        </is>
      </c>
      <c r="D61" s="10" t="inlineStr">
        <is>
          <t>Nacional</t>
        </is>
      </c>
      <c r="E61" s="11" t="inlineStr">
        <is>
          <t>tinta, fabricante</t>
        </is>
      </c>
      <c r="F61" s="37" t="n"/>
      <c r="G61" s="37" t="n"/>
      <c r="H61" s="38" t="n"/>
      <c r="I61" s="38" t="n"/>
      <c r="J61" s="37" t="n"/>
      <c r="K61" s="37" t="n"/>
      <c r="L61" s="37" t="n"/>
      <c r="M61" s="37" t="n"/>
    </row>
    <row r="62">
      <c r="A62" s="10" t="inlineStr">
        <is>
          <t>pintura</t>
        </is>
      </c>
      <c r="B62" s="18" t="n">
        <v>3</v>
      </c>
      <c r="C62" s="10" t="inlineStr">
        <is>
          <t>Coral / AkzoNobel</t>
        </is>
      </c>
      <c r="D62" s="10" t="inlineStr">
        <is>
          <t>Nacional</t>
        </is>
      </c>
      <c r="E62" s="11" t="inlineStr">
        <is>
          <t>tinta, fabricante</t>
        </is>
      </c>
      <c r="F62" s="37" t="n"/>
      <c r="G62" s="37" t="n"/>
      <c r="H62" s="38" t="n"/>
      <c r="I62" s="38" t="n"/>
      <c r="J62" s="37" t="n"/>
      <c r="K62" s="37" t="n"/>
      <c r="L62" s="37" t="n"/>
      <c r="M62" s="37" t="n"/>
    </row>
    <row r="63">
      <c r="A63" s="10" t="inlineStr">
        <is>
          <t>pintura</t>
        </is>
      </c>
      <c r="B63" s="18" t="n">
        <v>4</v>
      </c>
      <c r="C63" s="10" t="inlineStr">
        <is>
          <t>Sherwin-Williams</t>
        </is>
      </c>
      <c r="D63" s="10" t="inlineStr">
        <is>
          <t>Nacional</t>
        </is>
      </c>
      <c r="E63" s="11" t="inlineStr">
        <is>
          <t>tinta, fabricante</t>
        </is>
      </c>
      <c r="F63" s="37" t="n"/>
      <c r="G63" s="37" t="n"/>
      <c r="H63" s="38" t="n"/>
      <c r="I63" s="38" t="n"/>
      <c r="J63" s="37" t="n"/>
      <c r="K63" s="37" t="n"/>
      <c r="L63" s="37" t="n"/>
      <c r="M63" s="37" t="n"/>
    </row>
    <row r="64">
      <c r="A64" s="10" t="inlineStr">
        <is>
          <t>pintura</t>
        </is>
      </c>
      <c r="B64" s="18" t="n">
        <v>5</v>
      </c>
      <c r="C64" s="10" t="inlineStr">
        <is>
          <t>Du Norte Comercio</t>
        </is>
      </c>
      <c r="D64" s="36" t="inlineStr">
        <is>
          <t>Manaus/AM</t>
        </is>
      </c>
      <c r="E64" s="11" t="inlineStr">
        <is>
          <t>tinta e material de pintura</t>
        </is>
      </c>
      <c r="F64" s="37" t="n"/>
      <c r="G64" s="37" t="n"/>
      <c r="H64" s="38" t="n"/>
      <c r="I64" s="38" t="n"/>
      <c r="J64" s="37" t="n"/>
      <c r="K64" s="37" t="n"/>
      <c r="L64" s="37" t="n"/>
      <c r="M64" s="37" t="n"/>
    </row>
    <row r="65">
      <c r="A65" s="9" t="inlineStr">
        <is>
          <t>loucas</t>
        </is>
      </c>
      <c r="B65" s="18" t="n">
        <v>1</v>
      </c>
      <c r="C65" s="10" t="inlineStr">
        <is>
          <t>Deca / Duratex</t>
        </is>
      </c>
      <c r="D65" s="10" t="inlineStr">
        <is>
          <t>Nacional</t>
        </is>
      </c>
      <c r="E65" s="11" t="inlineStr">
        <is>
          <t>louca e metal, fabricante</t>
        </is>
      </c>
      <c r="F65" s="37" t="n"/>
      <c r="G65" s="37" t="n"/>
      <c r="H65" s="38" t="n"/>
      <c r="I65" s="38" t="n"/>
      <c r="J65" s="37" t="n"/>
      <c r="K65" s="37" t="n"/>
      <c r="L65" s="37" t="n"/>
      <c r="M65" s="37" t="n"/>
    </row>
    <row r="66">
      <c r="A66" s="10" t="inlineStr">
        <is>
          <t>loucas</t>
        </is>
      </c>
      <c r="B66" s="18" t="n">
        <v>2</v>
      </c>
      <c r="C66" s="10" t="inlineStr">
        <is>
          <t>Docol</t>
        </is>
      </c>
      <c r="D66" s="10" t="inlineStr">
        <is>
          <t>Nacional</t>
        </is>
      </c>
      <c r="E66" s="11" t="inlineStr">
        <is>
          <t>metal sanitario</t>
        </is>
      </c>
      <c r="F66" s="37" t="n"/>
      <c r="G66" s="37" t="n"/>
      <c r="H66" s="38" t="n"/>
      <c r="I66" s="38" t="n"/>
      <c r="J66" s="37" t="n"/>
      <c r="K66" s="37" t="n"/>
      <c r="L66" s="37" t="n"/>
      <c r="M66" s="37" t="n"/>
    </row>
    <row r="67">
      <c r="A67" s="10" t="inlineStr">
        <is>
          <t>loucas</t>
        </is>
      </c>
      <c r="B67" s="18" t="n">
        <v>3</v>
      </c>
      <c r="C67" s="10" t="inlineStr">
        <is>
          <t>Roca / Celite</t>
        </is>
      </c>
      <c r="D67" s="10" t="inlineStr">
        <is>
          <t>Nacional</t>
        </is>
      </c>
      <c r="E67" s="11" t="inlineStr">
        <is>
          <t>louca sanitaria</t>
        </is>
      </c>
      <c r="F67" s="37" t="n"/>
      <c r="G67" s="37" t="n"/>
      <c r="H67" s="38" t="n"/>
      <c r="I67" s="38" t="n"/>
      <c r="J67" s="37" t="n"/>
      <c r="K67" s="37" t="n"/>
      <c r="L67" s="37" t="n"/>
      <c r="M67" s="37" t="n"/>
    </row>
    <row r="68">
      <c r="A68" s="10" t="inlineStr">
        <is>
          <t>loucas</t>
        </is>
      </c>
      <c r="B68" s="18" t="n">
        <v>4</v>
      </c>
      <c r="C68" s="10" t="inlineStr">
        <is>
          <t>Lojas de acabamento de Manaus</t>
        </is>
      </c>
      <c r="D68" s="36" t="inlineStr">
        <is>
          <t>Manaus/AM</t>
        </is>
      </c>
      <c r="E68" s="11" t="inlineStr">
        <is>
          <t>louca e metal</t>
        </is>
      </c>
      <c r="F68" s="37" t="n"/>
      <c r="G68" s="37" t="n"/>
      <c r="H68" s="38" t="n"/>
      <c r="I68" s="38" t="n"/>
      <c r="J68" s="37" t="n"/>
      <c r="K68" s="37" t="n"/>
      <c r="L68" s="37" t="n"/>
      <c r="M68" s="37" t="n"/>
    </row>
    <row r="69">
      <c r="A69" s="10" t="inlineStr">
        <is>
          <t>loucas</t>
        </is>
      </c>
      <c r="B69" s="18" t="n">
        <v>5</v>
      </c>
      <c r="C69" s="10" t="inlineStr">
        <is>
          <t>Du Norte Comercio</t>
        </is>
      </c>
      <c r="D69" s="36" t="inlineStr">
        <is>
          <t>Manaus/AM</t>
        </is>
      </c>
      <c r="E69" s="11" t="inlineStr">
        <is>
          <t>louca, metal e acessorio</t>
        </is>
      </c>
      <c r="F69" s="37" t="n"/>
      <c r="G69" s="37" t="n"/>
      <c r="H69" s="38" t="n"/>
      <c r="I69" s="38" t="n"/>
      <c r="J69" s="37" t="n"/>
      <c r="K69" s="37" t="n"/>
      <c r="L69" s="37" t="n"/>
      <c r="M69" s="37" t="n"/>
    </row>
    <row r="70">
      <c r="A70" s="9" t="inlineStr">
        <is>
          <t>equipamentos</t>
        </is>
      </c>
      <c r="B70" s="18" t="n">
        <v>1</v>
      </c>
      <c r="C70" s="10" t="inlineStr">
        <is>
          <t>Lojas de climatizacao de Manaus</t>
        </is>
      </c>
      <c r="D70" s="36" t="inlineStr">
        <is>
          <t>Manaus/AM</t>
        </is>
      </c>
      <c r="E70" s="11" t="inlineStr">
        <is>
          <t>split com instalacao</t>
        </is>
      </c>
      <c r="F70" s="37" t="n"/>
      <c r="G70" s="37" t="n"/>
      <c r="H70" s="38" t="n"/>
      <c r="I70" s="38" t="n"/>
      <c r="J70" s="37" t="n"/>
      <c r="K70" s="37" t="n"/>
      <c r="L70" s="37" t="n"/>
      <c r="M70" s="37" t="n"/>
    </row>
    <row r="71">
      <c r="A71" s="10" t="inlineStr">
        <is>
          <t>equipamentos</t>
        </is>
      </c>
      <c r="B71" s="18" t="n">
        <v>2</v>
      </c>
      <c r="C71" s="10" t="inlineStr">
        <is>
          <t>LG / Samsung / Daikin</t>
        </is>
      </c>
      <c r="D71" s="10" t="inlineStr">
        <is>
          <t>Nacional</t>
        </is>
      </c>
      <c r="E71" s="11" t="inlineStr">
        <is>
          <t>split inverter, fabricante</t>
        </is>
      </c>
      <c r="F71" s="37" t="n"/>
      <c r="G71" s="37" t="n"/>
      <c r="H71" s="38" t="n"/>
      <c r="I71" s="38" t="n"/>
      <c r="J71" s="37" t="n"/>
      <c r="K71" s="37" t="n"/>
      <c r="L71" s="37" t="n"/>
      <c r="M71" s="37" t="n"/>
    </row>
    <row r="72">
      <c r="A72" s="10" t="inlineStr">
        <is>
          <t>equipamentos</t>
        </is>
      </c>
      <c r="B72" s="18" t="n">
        <v>3</v>
      </c>
      <c r="C72" s="10" t="inlineStr">
        <is>
          <t>Midea / Elgin</t>
        </is>
      </c>
      <c r="D72" s="10" t="inlineStr">
        <is>
          <t>Nacional</t>
        </is>
      </c>
      <c r="E72" s="11" t="inlineStr">
        <is>
          <t>split inverter</t>
        </is>
      </c>
      <c r="F72" s="37" t="n"/>
      <c r="G72" s="37" t="n"/>
      <c r="H72" s="38" t="n"/>
      <c r="I72" s="38" t="n"/>
      <c r="J72" s="37" t="n"/>
      <c r="K72" s="37" t="n"/>
      <c r="L72" s="37" t="n"/>
      <c r="M72" s="37" t="n"/>
    </row>
    <row r="73">
      <c r="A73" s="10" t="inlineStr">
        <is>
          <t>equipamentos</t>
        </is>
      </c>
      <c r="B73" s="18" t="n">
        <v>4</v>
      </c>
      <c r="C73" s="10" t="inlineStr">
        <is>
          <t>Jacuzzi / Sodramar</t>
        </is>
      </c>
      <c r="D73" s="10" t="inlineStr">
        <is>
          <t>Nacional</t>
        </is>
      </c>
      <c r="E73" s="11" t="inlineStr">
        <is>
          <t>bomba e filtro de piscina</t>
        </is>
      </c>
      <c r="F73" s="37" t="n"/>
      <c r="G73" s="37" t="n"/>
      <c r="H73" s="38" t="n"/>
      <c r="I73" s="38" t="n"/>
      <c r="J73" s="37" t="n"/>
      <c r="K73" s="37" t="n"/>
      <c r="L73" s="37" t="n"/>
      <c r="M73" s="37" t="n"/>
    </row>
    <row r="74">
      <c r="A74" s="10" t="inlineStr">
        <is>
          <t>equipamentos</t>
        </is>
      </c>
      <c r="B74" s="18" t="n">
        <v>5</v>
      </c>
      <c r="C74" s="10" t="inlineStr">
        <is>
          <t>PPA / Garen / Rossi</t>
        </is>
      </c>
      <c r="D74" s="10" t="inlineStr">
        <is>
          <t>Nacional</t>
        </is>
      </c>
      <c r="E74" s="11" t="inlineStr">
        <is>
          <t>automatizador de portao</t>
        </is>
      </c>
      <c r="F74" s="37" t="n"/>
      <c r="G74" s="37" t="n"/>
      <c r="H74" s="38" t="n"/>
      <c r="I74" s="38" t="n"/>
      <c r="J74" s="37" t="n"/>
      <c r="K74" s="37" t="n"/>
      <c r="L74" s="37" t="n"/>
      <c r="M74" s="37" t="n"/>
    </row>
    <row r="75">
      <c r="A75" s="9" t="inlineStr">
        <is>
          <t>cobertura</t>
        </is>
      </c>
      <c r="B75" s="18" t="n">
        <v>1</v>
      </c>
      <c r="C75" s="10" t="inlineStr">
        <is>
          <t>Kingspan Isoeste</t>
        </is>
      </c>
      <c r="D75" s="10" t="inlineStr">
        <is>
          <t>Nacional</t>
        </is>
      </c>
      <c r="E75" s="11" t="inlineStr">
        <is>
          <t>painel e telha PIR, fabricante</t>
        </is>
      </c>
      <c r="F75" s="37" t="n"/>
      <c r="G75" s="37" t="n"/>
      <c r="H75" s="38" t="n"/>
      <c r="I75" s="38" t="n"/>
      <c r="J75" s="37" t="n"/>
      <c r="K75" s="37" t="n"/>
      <c r="L75" s="37" t="n"/>
      <c r="M75" s="37" t="n"/>
    </row>
    <row r="76">
      <c r="A76" s="10" t="inlineStr">
        <is>
          <t>cobertura</t>
        </is>
      </c>
      <c r="B76" s="18" t="n">
        <v>2</v>
      </c>
      <c r="C76" s="10" t="inlineStr">
        <is>
          <t>Regional Telhas</t>
        </is>
      </c>
      <c r="D76" s="10" t="inlineStr">
        <is>
          <t>Nacional</t>
        </is>
      </c>
      <c r="E76" s="11" t="inlineStr">
        <is>
          <t>termoacustica RT PIR</t>
        </is>
      </c>
      <c r="F76" s="37" t="n"/>
      <c r="G76" s="37" t="n"/>
      <c r="H76" s="38" t="n"/>
      <c r="I76" s="38" t="n"/>
      <c r="J76" s="37" t="n"/>
      <c r="K76" s="37" t="n"/>
      <c r="L76" s="37" t="n"/>
      <c r="M76" s="37" t="n"/>
    </row>
    <row r="77">
      <c r="A77" s="10" t="inlineStr">
        <is>
          <t>cobertura</t>
        </is>
      </c>
      <c r="B77" s="18" t="n">
        <v>3</v>
      </c>
      <c r="C77" s="10" t="inlineStr">
        <is>
          <t>ThermoValle</t>
        </is>
      </c>
      <c r="D77" s="10" t="inlineStr">
        <is>
          <t>Nacional</t>
        </is>
      </c>
      <c r="E77" s="11" t="inlineStr">
        <is>
          <t>telha termoacustica</t>
        </is>
      </c>
      <c r="F77" s="37" t="n"/>
      <c r="G77" s="37" t="n"/>
      <c r="H77" s="38" t="n"/>
      <c r="I77" s="38" t="n"/>
      <c r="J77" s="37" t="n"/>
      <c r="K77" s="37" t="n"/>
      <c r="L77" s="37" t="n"/>
      <c r="M77" s="37" t="n"/>
    </row>
    <row r="78">
      <c r="A78" s="10" t="inlineStr">
        <is>
          <t>cobertura</t>
        </is>
      </c>
      <c r="B78" s="18" t="n">
        <v>4</v>
      </c>
      <c r="C78" s="10" t="inlineStr">
        <is>
          <t>Gravia</t>
        </is>
      </c>
      <c r="D78" s="10" t="inlineStr">
        <is>
          <t>Nacional</t>
        </is>
      </c>
      <c r="E78" s="11" t="inlineStr">
        <is>
          <t>telha termica com nucleo PIR</t>
        </is>
      </c>
      <c r="F78" s="37" t="n"/>
      <c r="G78" s="37" t="n"/>
      <c r="H78" s="38" t="n"/>
      <c r="I78" s="38" t="n"/>
      <c r="J78" s="37" t="n"/>
      <c r="K78" s="37" t="n"/>
      <c r="L78" s="37" t="n"/>
      <c r="M78" s="37" t="n"/>
    </row>
    <row r="79">
      <c r="A79" s="10" t="inlineStr">
        <is>
          <t>cobertura</t>
        </is>
      </c>
      <c r="B79" s="18" t="n">
        <v>5</v>
      </c>
      <c r="C79" s="10" t="inlineStr">
        <is>
          <t>Coberminas</t>
        </is>
      </c>
      <c r="D79" s="10" t="inlineStr">
        <is>
          <t>Nacional</t>
        </is>
      </c>
      <c r="E79" s="11" t="inlineStr">
        <is>
          <t>telhas termoacusticas</t>
        </is>
      </c>
      <c r="F79" s="37" t="n"/>
      <c r="G79" s="37" t="n"/>
      <c r="H79" s="38" t="n"/>
      <c r="I79" s="38" t="n"/>
      <c r="J79" s="37" t="n"/>
      <c r="K79" s="37" t="n"/>
      <c r="L79" s="37" t="n"/>
      <c r="M79" s="37" t="n"/>
    </row>
    <row r="80">
      <c r="A80" s="9" t="inlineStr">
        <is>
          <t>ligacao</t>
        </is>
      </c>
      <c r="B80" s="18" t="n">
        <v>1</v>
      </c>
      <c r="C80" s="10" t="inlineStr">
        <is>
          <t>Ciser</t>
        </is>
      </c>
      <c r="D80" s="10" t="inlineStr">
        <is>
          <t>Nacional</t>
        </is>
      </c>
      <c r="E80" s="11" t="inlineStr">
        <is>
          <t>parafuso auto-brocante</t>
        </is>
      </c>
      <c r="F80" s="37" t="n"/>
      <c r="G80" s="37" t="n"/>
      <c r="H80" s="38" t="n"/>
      <c r="I80" s="38" t="n"/>
      <c r="J80" s="37" t="n"/>
      <c r="K80" s="37" t="n"/>
      <c r="L80" s="37" t="n"/>
      <c r="M80" s="37" t="n"/>
    </row>
    <row r="81">
      <c r="A81" s="10" t="inlineStr">
        <is>
          <t>ligacao</t>
        </is>
      </c>
      <c r="B81" s="18" t="n">
        <v>2</v>
      </c>
      <c r="C81" s="10" t="inlineStr">
        <is>
          <t>Sumaq / Starfix</t>
        </is>
      </c>
      <c r="D81" s="10" t="inlineStr">
        <is>
          <t>Nacional</t>
        </is>
      </c>
      <c r="E81" s="11" t="inlineStr">
        <is>
          <t>fixacao para steel frame</t>
        </is>
      </c>
      <c r="F81" s="37" t="n"/>
      <c r="G81" s="37" t="n"/>
      <c r="H81" s="38" t="n"/>
      <c r="I81" s="38" t="n"/>
      <c r="J81" s="37" t="n"/>
      <c r="K81" s="37" t="n"/>
      <c r="L81" s="37" t="n"/>
      <c r="M81" s="37" t="n"/>
    </row>
    <row r="82">
      <c r="A82" s="10" t="inlineStr">
        <is>
          <t>ligacao</t>
        </is>
      </c>
      <c r="B82" s="18" t="n">
        <v>3</v>
      </c>
      <c r="C82" s="10" t="inlineStr">
        <is>
          <t>Du Norte Comercio</t>
        </is>
      </c>
      <c r="D82" s="36" t="inlineStr">
        <is>
          <t>Manaus/AM</t>
        </is>
      </c>
      <c r="E82" s="11" t="inlineStr">
        <is>
          <t>ferragem e fixacao</t>
        </is>
      </c>
      <c r="F82" s="37" t="n"/>
      <c r="G82" s="37" t="n"/>
      <c r="H82" s="38" t="n"/>
      <c r="I82" s="38" t="n"/>
      <c r="J82" s="37" t="n"/>
      <c r="K82" s="37" t="n"/>
      <c r="L82" s="37" t="n"/>
      <c r="M82" s="37" t="n"/>
    </row>
    <row r="83">
      <c r="A83" s="10" t="inlineStr">
        <is>
          <t>ligacao</t>
        </is>
      </c>
      <c r="B83" s="18" t="n">
        <v>4</v>
      </c>
      <c r="C83" s="10" t="inlineStr">
        <is>
          <t>Obramax</t>
        </is>
      </c>
      <c r="D83" s="10" t="inlineStr">
        <is>
          <t>Nacional</t>
        </is>
      </c>
      <c r="E83" s="11" t="inlineStr">
        <is>
          <t>distribuidor</t>
        </is>
      </c>
      <c r="F83" s="37" t="n"/>
      <c r="G83" s="37" t="n"/>
      <c r="H83" s="38" t="n"/>
      <c r="I83" s="38" t="n"/>
      <c r="J83" s="37" t="n"/>
      <c r="K83" s="37" t="n"/>
      <c r="L83" s="37" t="n"/>
      <c r="M83" s="37" t="n"/>
    </row>
    <row r="84">
      <c r="A84" s="10" t="inlineStr">
        <is>
          <t>ligacao</t>
        </is>
      </c>
      <c r="B84" s="18" t="n">
        <v>5</v>
      </c>
      <c r="C84" s="10" t="inlineStr">
        <is>
          <t>Distribuidores locais de ferragem</t>
        </is>
      </c>
      <c r="D84" s="36" t="inlineStr">
        <is>
          <t>Manaus/AM</t>
        </is>
      </c>
      <c r="E84" s="11" t="inlineStr">
        <is>
          <t>reposicao de obra</t>
        </is>
      </c>
      <c r="F84" s="37" t="n"/>
      <c r="G84" s="37" t="n"/>
      <c r="H84" s="38" t="n"/>
      <c r="I84" s="38" t="n"/>
      <c r="J84" s="37" t="n"/>
      <c r="K84" s="37" t="n"/>
      <c r="L84" s="37" t="n"/>
      <c r="M84" s="37" t="n"/>
    </row>
    <row r="86">
      <c r="A86" s="4" t="inlineStr">
        <is>
          <t>Sem fabricante na praça de Manaus:</t>
        </is>
      </c>
      <c r="C86" s="2" t="inlineStr">
        <is>
          <t>cobertura — nao ha fabricante de painel PIR em Manaus; a cotacao tem de ser pedida CIF Manaus, com o frete DENTRO do preco e nao como surpresa na entrega</t>
        </is>
      </c>
    </row>
  </sheetData>
  <dataValidations count="1">
    <dataValidation sqref="K4:K84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0" customWidth="1" min="4" max="4"/>
    <col width="14" customWidth="1" min="5" max="5"/>
    <col width="30" customWidth="1" min="6" max="6"/>
    <col width="78" customWidth="1" min="7" max="7"/>
  </cols>
  <sheetData>
    <row r="1">
      <c r="A1" s="1" t="inlineStr">
        <is>
          <t>REFERÊNCIAS PÚBLICAS — a conferência de cima para baixo</t>
        </is>
      </c>
    </row>
    <row r="2">
      <c r="A2" s="2" t="inlineStr">
        <is>
          <t>Cinco propostas dizem se o preço de cada item está bom. O índice diz se o orçamento INTEIRO está no lugar certo — e é o erro de orçamento inteiro, não o de item, que quebra obra.</t>
        </is>
      </c>
    </row>
    <row r="4">
      <c r="A4" s="26" t="inlineStr">
        <is>
          <t>ÍNDICE</t>
        </is>
      </c>
      <c r="B4" s="26" t="inlineStr">
        <is>
          <t>VALOR</t>
        </is>
      </c>
      <c r="C4" s="26" t="inlineStr">
        <is>
          <t>UNIDADE</t>
        </is>
      </c>
      <c r="D4" s="26" t="inlineStr">
        <is>
          <t>DATA</t>
        </is>
      </c>
      <c r="E4" s="26" t="inlineStr">
        <is>
          <t>PRAÇA</t>
        </is>
      </c>
      <c r="F4" s="26" t="inlineStr">
        <is>
          <t>FONTE</t>
        </is>
      </c>
      <c r="G4" s="26" t="inlineStr">
        <is>
          <t>ESCOPO (o que está dentro e o que não está)</t>
        </is>
      </c>
    </row>
    <row r="5">
      <c r="A5" s="9" t="inlineStr">
        <is>
          <t>CUB Amazonas, custo medio IBGE/SINAPI</t>
        </is>
      </c>
      <c r="B5" s="16" t="n">
        <v>1942.1</v>
      </c>
      <c r="C5" s="10" t="inlineStr">
        <is>
          <t>R$/m2</t>
        </is>
      </c>
      <c r="D5" s="18" t="inlineStr">
        <is>
          <t>2026-06</t>
        </is>
      </c>
      <c r="E5" s="10" t="inlineStr">
        <is>
          <t>Amazonas</t>
        </is>
      </c>
      <c r="F5" s="11" t="inlineStr">
        <is>
          <t>Sinduscon-AM / compiladores de CUB</t>
        </is>
      </c>
      <c r="G5" s="11" t="inlineStr">
        <is>
          <t>materiais, mao de obra e despesas administrativas do projeto padrao; NAO inclui fundacao especial, area externa, piscina, muro, elevador, projeto nem BDI</t>
        </is>
      </c>
    </row>
    <row r="6">
      <c r="A6" s="9" t="inlineStr">
        <is>
          <t>CUB Amazonas R8-N (residencial normal)</t>
        </is>
      </c>
      <c r="B6" s="16" t="n">
        <v>2460</v>
      </c>
      <c r="C6" s="10" t="inlineStr">
        <is>
          <t>R$/m2</t>
        </is>
      </c>
      <c r="D6" s="18" t="inlineStr">
        <is>
          <t>2026</t>
        </is>
      </c>
      <c r="E6" s="10" t="inlineStr">
        <is>
          <t>Amazonas</t>
        </is>
      </c>
      <c r="F6" s="11" t="inlineStr">
        <is>
          <t>Sinduscon-AM</t>
        </is>
      </c>
      <c r="G6" s="11" t="inlineStr">
        <is>
          <t>idem CUB, padrao normal de acabamento</t>
        </is>
      </c>
    </row>
    <row r="7">
      <c r="A7" s="9" t="inlineStr">
        <is>
          <t>Indice Steel Frame, padrao popular</t>
        </is>
      </c>
      <c r="B7" s="16" t="n">
        <v>3042.24</v>
      </c>
      <c r="C7" s="10" t="inlineStr">
        <is>
          <t>R$/m2</t>
        </is>
      </c>
      <c r="D7" s="18" t="inlineStr">
        <is>
          <t>2026-04</t>
        </is>
      </c>
      <c r="E7" s="10" t="inlineStr">
        <is>
          <t>Sudeste</t>
        </is>
      </c>
      <c r="F7" s="11" t="inlineStr">
        <is>
          <t>Indice Arquitecasa Steel Frame</t>
        </is>
      </c>
      <c r="G7" s="11" t="inlineStr">
        <is>
          <t>obra entregue (chave na mao), padrao popular</t>
        </is>
      </c>
    </row>
    <row r="8">
      <c r="A8" s="9" t="inlineStr">
        <is>
          <t>Indice Steel Frame, padrao medio</t>
        </is>
      </c>
      <c r="B8" s="16" t="n">
        <v>4543.63</v>
      </c>
      <c r="C8" s="10" t="inlineStr">
        <is>
          <t>R$/m2</t>
        </is>
      </c>
      <c r="D8" s="18" t="inlineStr">
        <is>
          <t>2026-04</t>
        </is>
      </c>
      <c r="E8" s="10" t="inlineStr">
        <is>
          <t>Sudeste</t>
        </is>
      </c>
      <c r="F8" s="11" t="inlineStr">
        <is>
          <t>Indice Arquitecasa Steel Frame</t>
        </is>
      </c>
      <c r="G8" s="11" t="inlineStr">
        <is>
          <t>obra entregue (chave na mao), padrao medio</t>
        </is>
      </c>
    </row>
    <row r="9">
      <c r="A9" s="9" t="inlineStr">
        <is>
          <t>Indice Steel Frame, padrao alto</t>
        </is>
      </c>
      <c r="B9" s="16" t="n">
        <v>6200.34</v>
      </c>
      <c r="C9" s="10" t="inlineStr">
        <is>
          <t>R$/m2</t>
        </is>
      </c>
      <c r="D9" s="18" t="inlineStr">
        <is>
          <t>2026-04</t>
        </is>
      </c>
      <c r="E9" s="10" t="inlineStr">
        <is>
          <t>Sudeste</t>
        </is>
      </c>
      <c r="F9" s="11" t="inlineStr">
        <is>
          <t>Indice Arquitecasa Steel Frame</t>
        </is>
      </c>
      <c r="G9" s="11" t="inlineStr">
        <is>
          <t>obra entregue (chave na mao), padrao alto</t>
        </is>
      </c>
    </row>
    <row r="11">
      <c r="A11" s="3" t="inlineStr">
        <is>
          <t>POSIÇÃO DESTE ORÇAMENTO</t>
        </is>
      </c>
    </row>
    <row r="12">
      <c r="A12" s="4" t="inlineStr">
        <is>
          <t>Obra entregue estimada por m² (da aba RESUMO)</t>
        </is>
      </c>
      <c r="B12" s="35">
        <f>RESUMO!C31</f>
        <v/>
      </c>
    </row>
    <row r="13">
      <c r="A13" s="4" t="inlineStr">
        <is>
          <t>Índice steel frame, padrão popular</t>
        </is>
      </c>
      <c r="B13" s="35" t="n">
        <v>3042.24</v>
      </c>
    </row>
    <row r="14">
      <c r="A14" s="4" t="inlineStr">
        <is>
          <t>Índice steel frame, padrão médio</t>
        </is>
      </c>
      <c r="B14" s="35" t="n">
        <v>4543.63</v>
      </c>
    </row>
    <row r="15">
      <c r="A15" s="4" t="inlineStr">
        <is>
          <t>CUB Amazonas R8-N</t>
        </is>
      </c>
      <c r="B15" s="35" t="n">
        <v>2460</v>
      </c>
    </row>
    <row r="16">
      <c r="A16" s="4" t="inlineStr">
        <is>
          <t>Posição contra o padrão popular</t>
        </is>
      </c>
      <c r="B16" s="39">
        <f>IF(B12=0,"",B12/B13-1)</f>
        <v/>
      </c>
    </row>
    <row r="17">
      <c r="A17" s="4" t="inlineStr">
        <is>
          <t>Fator de praça (frete para o Norte)</t>
        </is>
      </c>
      <c r="B17" s="40" t="n">
        <v>1.2</v>
      </c>
      <c r="D17" s="2" t="inlineStr">
        <is>
          <t>Se os preços vierem de tabela do Sudeste, o total erra por este fator. Peça CIF Manaus e ele deixa de existir.</t>
        </is>
      </c>
    </row>
    <row r="19">
      <c r="A19" s="2" t="inlineStr">
        <is>
          <t>LEITURA: o valor extrapolado TEM de ficar abaixo do índice de obra entregue, porque o escopo desta planilha é menor (ver aba FORA DO ESCOPO). Ficar ACIMA é sinal de erro — de quantidade, de preço ou de linha duplicada.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2" customWidth="1" min="2" max="2"/>
    <col width="52" customWidth="1" min="3" max="3"/>
    <col width="14" customWidth="1" min="4" max="4"/>
    <col width="60" customWidth="1" min="5" max="5"/>
  </cols>
  <sheetData>
    <row r="1">
      <c r="A1" s="1" t="inlineStr">
        <is>
          <t>O QUE NÃO ESTÁ NESTA PLANILHA</t>
        </is>
      </c>
    </row>
    <row r="2">
      <c r="A2" s="2" t="inlineStr">
        <is>
          <t>Esta planilha cobre os sistemas construtivos modelados. Orçamento erra mais por LINHA FALTANDO do que por preço alto — por isso a lista existe, e por isso ela é curta e explícita.</t>
        </is>
      </c>
    </row>
    <row r="4">
      <c r="A4" s="26" t="inlineStr">
        <is>
          <t>ESCOPO FORA</t>
        </is>
      </c>
      <c r="B4" s="26" t="inlineStr">
        <is>
          <t>SITUAÇÃO NO PROJETO</t>
        </is>
      </c>
      <c r="C4" s="26" t="inlineStr">
        <is>
          <t>ORÇAR SEPARADAMENTE COM</t>
        </is>
      </c>
    </row>
    <row r="5">
      <c r="A5" s="41" t="inlineStr">
        <is>
          <t>mao de obra de instalacoes e acabamento</t>
        </is>
      </c>
      <c r="B5" s="42" t="inlineStr">
        <is>
          <t>so a montagem da estrutura esta orcada (MO-FAB e MO-MON). Hidraulica, eletrica, assentamento, pintura de campo e marcenaria pedem composicao com encargos</t>
        </is>
      </c>
      <c r="C5" s="42" t="inlineStr">
        <is>
          <t>empreiteiro geral ou por frente</t>
        </is>
      </c>
    </row>
    <row r="6">
      <c r="A6" s="41" t="inlineStr">
        <is>
          <t>projetos complementares, ART e taxas</t>
        </is>
      </c>
      <c r="B6" s="42" t="inlineStr">
        <is>
          <t>inclui o projeto de fundacao com ART que a pendencia 3 espera, o luminotecnico que a pendencia 13 abriu, e as taxas de prefeitura e concessionaria</t>
        </is>
      </c>
      <c r="C6" s="42" t="inlineStr">
        <is>
          <t>projetista estrutural com ART, prefeitura, concessionárias</t>
        </is>
      </c>
    </row>
    <row r="7">
      <c r="A7" s="41" t="inlineStr">
        <is>
          <t>BDI, administracao e canteiro</t>
        </is>
      </c>
      <c r="B7" s="42" t="inlineStr">
        <is>
          <t>nao ha composicao de BDI neste modelo: e decisao de quem constroi, nao do que se constroi</t>
        </is>
      </c>
      <c r="C7" s="42" t="inlineStr">
        <is>
          <t>construtora / administração da obra</t>
        </is>
      </c>
    </row>
    <row r="9">
      <c r="A9" s="3" t="inlineStr">
        <is>
          <t>PENDÊNCIAS DO PROJETO QUE AFETAM A COMPRA</t>
        </is>
      </c>
    </row>
    <row r="10">
      <c r="A10" s="26" t="inlineStr">
        <is>
          <t>Nº</t>
        </is>
      </c>
      <c r="B10" s="26" t="inlineStr">
        <is>
          <t>PENDÊNCIA</t>
        </is>
      </c>
      <c r="C10" s="26" t="inlineStr">
        <is>
          <t>NORMA / ORIGEM</t>
        </is>
      </c>
      <c r="D10" s="26" t="inlineStr">
        <is>
          <t>TRAVA</t>
        </is>
      </c>
      <c r="E10" s="26" t="inlineStr">
        <is>
          <t>SITUAÇÃO</t>
        </is>
      </c>
    </row>
    <row r="11">
      <c r="A11" s="18" t="inlineStr">
        <is>
          <t>16</t>
        </is>
      </c>
      <c r="B11" s="43" t="inlineStr">
        <is>
          <t>Convencao de lateral esquerda/direita para os recuos</t>
        </is>
      </c>
      <c r="C11" s="11" t="inlineStr">
        <is>
          <t>Lei 1.838/2014 (SU16) — texto do recuo lateral</t>
        </is>
      </c>
      <c r="D11" s="18" t="inlineStr">
        <is>
          <t>aprovacao</t>
        </is>
      </c>
      <c r="E11" s="11" t="inlineStr">
        <is>
          <t>A casa tem 2,40 m de recuo ao SUL e 4,40 m ao NORTE. O caso declara RECUO_ESQ = 2,40 (sul) e RECUO_DIR_MIN = 3,00 (norte) pela convencao do observador na rua. A descricao do proprietario usa a convencao oposta. Se a certidao adotar a segunda, o lado que precisa de 3,00 passa a ser o SUL, onde ha 2,40: infracao de 600 mm. Resolve-se lendo o texto legal, nao medindo nada</t>
        </is>
      </c>
    </row>
    <row r="12">
      <c r="A12" s="18" t="inlineStr">
        <is>
          <t>17</t>
        </is>
      </c>
      <c r="B12" s="43" t="inlineStr">
        <is>
          <t>Levantamento planialtimetrico do lote</t>
        </is>
      </c>
      <c r="C12" s="11" t="inlineStr">
        <is>
          <t>NBR 13133</t>
        </is>
      </c>
      <c r="D12" s="18" t="inlineStr"/>
      <c r="E12" s="11" t="inlineStr">
        <is>
          <t>A topografia entrou como FAIXA declarada pelo proprietario (1 % a 2 % para a rua), nao como poligonal medida. O projeto usa o pior caso em volume de terra e o melhor caso em caimento, e nucleo/terreno mostra que a faixa inteira cabe dentro da troca de solo que o SPT ja obrigou. Um levantamento real fecha as cotas de locacao e o RN</t>
        </is>
      </c>
    </row>
    <row r="13">
      <c r="A13" s="18" t="inlineStr">
        <is>
          <t>1</t>
        </is>
      </c>
      <c r="B13" s="43" t="inlineStr">
        <is>
          <t>Certidao oficial do SU16 (CAMT, taxa de ocupacao, gabarito)</t>
        </is>
      </c>
      <c r="C13" s="11" t="inlineStr">
        <is>
          <t>Lei 1.838/2014</t>
        </is>
      </c>
      <c r="D13" s="18" t="inlineStr">
        <is>
          <t>obra</t>
        </is>
      </c>
      <c r="E13" s="11" t="inlineStr">
        <is>
          <t>Condiciona toda a implantacao</t>
        </is>
      </c>
    </row>
    <row r="14">
      <c r="A14" s="18" t="inlineStr">
        <is>
          <t>3</t>
        </is>
      </c>
      <c r="B14" s="43" t="inlineStr">
        <is>
          <t>Calculo estrutural do hibrido LSF + laminado, com ART</t>
        </is>
      </c>
      <c r="C14" s="11" t="inlineStr">
        <is>
          <t>NBR 8800 / 14762</t>
        </is>
      </c>
      <c r="D14" s="18" t="inlineStr">
        <is>
          <t>fabricacao</t>
        </is>
      </c>
      <c r="E14" s="11" t="inlineStr">
        <is>
          <t>Estrutura e balanco; inclui o apoio da caixa d'agua. O pre-dimensionamento por flecha nao substitui verificacao de flambagem lateral</t>
        </is>
      </c>
    </row>
    <row r="15">
      <c r="A15" s="18" t="inlineStr">
        <is>
          <t>6</t>
        </is>
      </c>
      <c r="B15" s="43" t="inlineStr">
        <is>
          <t>Regulamento especifico do condominio</t>
        </is>
      </c>
      <c r="C15" s="11" t="inlineStr">
        <is>
          <t>—</t>
        </is>
      </c>
      <c r="D15" s="18" t="inlineStr">
        <is>
          <t>obra</t>
        </is>
      </c>
      <c r="E15" s="11" t="inlineStr">
        <is>
          <t>Fachada, muros, recuos e especie vegetal</t>
        </is>
      </c>
    </row>
    <row r="16">
      <c r="A16" s="18" t="inlineStr">
        <is>
          <t>8</t>
        </is>
      </c>
      <c r="B16" s="43" t="inlineStr">
        <is>
          <t>Nesting codificado dos paineis LSF</t>
        </is>
      </c>
      <c r="C16" s="11" t="inlineStr">
        <is>
          <t>fabricante</t>
        </is>
      </c>
      <c r="D16" s="18" t="inlineStr">
        <is>
          <t>fabricacao</t>
        </is>
      </c>
      <c r="E16" s="11" t="inlineStr">
        <is>
          <t>A paginacao atual e de estudo, nao de corte</t>
        </is>
      </c>
    </row>
    <row r="17">
      <c r="A17" s="18" t="inlineStr">
        <is>
          <t>15</t>
        </is>
      </c>
      <c r="B17" s="43" t="inlineStr">
        <is>
          <t>Dados de sitio da energia: raios, sol e tarifa</t>
        </is>
      </c>
      <c r="C17" s="11" t="inlineStr">
        <is>
          <t>NBR 5419-2 (Ng) · Atlas Brasileiro de Energia Solar (HSP) · ANEEL/Amazonas Energia (tarifa)</t>
        </is>
      </c>
      <c r="D17" s="18" t="inlineStr"/>
      <c r="E17" s="11" t="inlineStr">
        <is>
          <t>O SPDA e a fotovoltaica sao dimensionados com tres numeros de sitio que entraram (H): densidade de descargas Ng = 12/km2.ano, irradiacao 4,6 kWh/m2.dia e tarifa R$ 0,95/kWh. Nenhum muda a casa; os tres mudam o payback e a classe de protecao. Confirmar no mapa RINDAT/ELAT, no Atlas INPE e na fatura</t>
        </is>
      </c>
    </row>
    <row r="18">
      <c r="A18" s="18" t="inlineStr">
        <is>
          <t>14</t>
        </is>
      </c>
      <c r="B18" s="43" t="inlineStr">
        <is>
          <t>Rota de conformidade termica da parede externa</t>
        </is>
      </c>
      <c r="C18" s="11" t="inlineStr">
        <is>
          <t>NBR 15220-3 (tabela da ZB8) x NBR 15575-4 (desempenho)</t>
        </is>
      </c>
      <c r="D18" s="18" t="inlineStr">
        <is>
          <t>aprovacao</t>
        </is>
      </c>
      <c r="E18" s="11" t="inlineStr">
        <is>
          <t>A parede PE-1 tem U = 0,532 W/m2.K, sete vezes melhor que o U &lt;= 3,60 da linha 'parede leve refletora' da ZB8 — e por isso mesmo seu atraso termico (4,90 h) passa dos 4,3 h que a MESMA linha admite. Nao ha defeito a corrigir: ha categoria a escolher. A leitura tecnica e que a tabela prescritiva da 15220-3 foi escrita para paredes de U alto, e que em clima quente-umido inercia e passivo e nao ativo — mas a confirmacao disso depende do TEXTO da 15575-4, que este projeto nao tem acesso para ler. Enquanto nao for lido, a classificacao entra (H) e a verificacao registra ATENCAO, nunca aprovacao</t>
        </is>
      </c>
    </row>
    <row r="19">
      <c r="A19" s="18" t="inlineStr">
        <is>
          <t>12</t>
        </is>
      </c>
      <c r="B19" s="43" t="inlineStr">
        <is>
          <t>Cotacao dos materiais: 100 % dos precos sao (H)</t>
        </is>
      </c>
      <c r="C19" s="11" t="inlineStr">
        <is>
          <t>Lei 14.133 art. 23 (parametro de 3 propostas)</t>
        </is>
      </c>
      <c r="D19" s="18" t="inlineStr">
        <is>
          <t>contrato</t>
        </is>
      </c>
      <c r="E19" s="11" t="inlineStr">
        <is>
          <t>O mapa de cotacao existe e esta pronto para sair; enquanto nao voltar, o custo e ordem de grandeza para auditar quantidade, nunca base de contrato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30" customWidth="1" min="4" max="4"/>
    <col width="16" customWidth="1" min="5" max="5"/>
    <col width="16" customWidth="1" min="6" max="6"/>
  </cols>
  <sheetData>
    <row r="1">
      <c r="A1" s="1" t="inlineStr">
        <is>
          <t>LISTA DE PEÇAS — agrupada por perfil e comprimento</t>
        </is>
      </c>
    </row>
    <row r="2">
      <c r="A2" s="2" t="inlineStr">
        <is>
          <t>O aço é comprado em barra de 6.000 mm e cortado. Esta é a lista de corte: cada linha é um tamanho padronizado e quantas vezes ele se repete.</t>
        </is>
      </c>
    </row>
    <row r="3">
      <c r="A3" s="4" t="inlineStr">
        <is>
          <t>1201 peças · 585 barras de 6.000 mm · aproveitamento 88.9 % · perda 390.0 m</t>
        </is>
      </c>
    </row>
    <row r="4">
      <c r="A4" s="26" t="inlineStr">
        <is>
          <t>PERFIL</t>
        </is>
      </c>
      <c r="B4" s="26" t="inlineStr">
        <is>
          <t>COMPRIMENTO (mm)</t>
        </is>
      </c>
      <c r="C4" s="26" t="inlineStr">
        <is>
          <t>QUANT. DE PEÇAS</t>
        </is>
      </c>
      <c r="D4" s="26" t="inlineStr">
        <is>
          <t>FAMÍLIA ESTRUTURAL</t>
        </is>
      </c>
      <c r="E4" s="26" t="inlineStr">
        <is>
          <t>MASSA UNIT. (kg)</t>
        </is>
      </c>
      <c r="F4" s="26" t="inlineStr">
        <is>
          <t>MASSA TOTAL (kg)</t>
        </is>
      </c>
    </row>
    <row r="5">
      <c r="A5" s="10" t="inlineStr">
        <is>
          <t>Fita 38x0,80</t>
        </is>
      </c>
      <c r="B5" s="44" t="n">
        <v>4623</v>
      </c>
      <c r="C5" s="45" t="n">
        <v>16</v>
      </c>
      <c r="D5" s="10" t="inlineStr">
        <is>
          <t>diagonal</t>
        </is>
      </c>
      <c r="E5" s="46" t="n">
        <v>1.103</v>
      </c>
      <c r="F5" s="14">
        <f>C5*E5</f>
        <v/>
      </c>
    </row>
    <row r="6">
      <c r="A6" s="10" t="inlineStr">
        <is>
          <t>Fita 38x0,80</t>
        </is>
      </c>
      <c r="B6" s="44" t="n">
        <v>4173</v>
      </c>
      <c r="C6" s="45" t="n">
        <v>4</v>
      </c>
      <c r="D6" s="10" t="inlineStr">
        <is>
          <t>diagonal</t>
        </is>
      </c>
      <c r="E6" s="46" t="n">
        <v>0.996</v>
      </c>
      <c r="F6" s="14">
        <f>C6*E6</f>
        <v/>
      </c>
    </row>
    <row r="7">
      <c r="A7" s="10" t="inlineStr">
        <is>
          <t>Fita 38x0,80</t>
        </is>
      </c>
      <c r="B7" s="44" t="n">
        <v>3764</v>
      </c>
      <c r="C7" s="45" t="n">
        <v>14</v>
      </c>
      <c r="D7" s="10" t="inlineStr">
        <is>
          <t>diagonal</t>
        </is>
      </c>
      <c r="E7" s="46" t="n">
        <v>0.898</v>
      </c>
      <c r="F7" s="14">
        <f>C7*E7</f>
        <v/>
      </c>
    </row>
    <row r="8">
      <c r="A8" s="10" t="inlineStr">
        <is>
          <t>Fita 38x0,80</t>
        </is>
      </c>
      <c r="B8" s="44" t="n">
        <v>3413</v>
      </c>
      <c r="C8" s="45" t="n">
        <v>4</v>
      </c>
      <c r="D8" s="10" t="inlineStr">
        <is>
          <t>diagonal</t>
        </is>
      </c>
      <c r="E8" s="46" t="n">
        <v>0.8139999999999999</v>
      </c>
      <c r="F8" s="14">
        <f>C8*E8</f>
        <v/>
      </c>
    </row>
    <row r="9">
      <c r="A9" s="10" t="inlineStr">
        <is>
          <t>U 92x38x0,95</t>
        </is>
      </c>
      <c r="B9" s="44" t="n">
        <v>7800</v>
      </c>
      <c r="C9" s="45" t="n">
        <v>2</v>
      </c>
      <c r="D9" s="10" t="inlineStr">
        <is>
          <t>travamento</t>
        </is>
      </c>
      <c r="E9" s="46" t="n">
        <v>9.589</v>
      </c>
      <c r="F9" s="14">
        <f>C9*E9</f>
        <v/>
      </c>
    </row>
    <row r="10">
      <c r="A10" s="10" t="inlineStr">
        <is>
          <t>U 92x38x0,95</t>
        </is>
      </c>
      <c r="B10" s="44" t="n">
        <v>7200</v>
      </c>
      <c r="C10" s="45" t="n">
        <v>1</v>
      </c>
      <c r="D10" s="10" t="inlineStr">
        <is>
          <t>travamento</t>
        </is>
      </c>
      <c r="E10" s="46" t="n">
        <v>8.851000000000001</v>
      </c>
      <c r="F10" s="14">
        <f>C10*E10</f>
        <v/>
      </c>
    </row>
    <row r="11">
      <c r="A11" s="10" t="inlineStr">
        <is>
          <t>U 92x38x0,95</t>
        </is>
      </c>
      <c r="B11" s="44" t="n">
        <v>6000</v>
      </c>
      <c r="C11" s="45" t="n">
        <v>5</v>
      </c>
      <c r="D11" s="10" t="inlineStr">
        <is>
          <t>blocking, track</t>
        </is>
      </c>
      <c r="E11" s="46" t="n">
        <v>7.376</v>
      </c>
      <c r="F11" s="14">
        <f>C11*E11</f>
        <v/>
      </c>
    </row>
    <row r="12">
      <c r="A12" s="10" t="inlineStr">
        <is>
          <t>U 92x38x0,95</t>
        </is>
      </c>
      <c r="B12" s="44" t="n">
        <v>5490</v>
      </c>
      <c r="C12" s="45" t="n">
        <v>1</v>
      </c>
      <c r="D12" s="10" t="inlineStr">
        <is>
          <t>track</t>
        </is>
      </c>
      <c r="E12" s="46" t="n">
        <v>6.749</v>
      </c>
      <c r="F12" s="14">
        <f>C12*E12</f>
        <v/>
      </c>
    </row>
    <row r="13">
      <c r="A13" s="10" t="inlineStr">
        <is>
          <t>U 92x38x0,95</t>
        </is>
      </c>
      <c r="B13" s="44" t="n">
        <v>5400</v>
      </c>
      <c r="C13" s="45" t="n">
        <v>5</v>
      </c>
      <c r="D13" s="10" t="inlineStr">
        <is>
          <t>blocking, travamento</t>
        </is>
      </c>
      <c r="E13" s="46" t="n">
        <v>6.639</v>
      </c>
      <c r="F13" s="14">
        <f>C13*E13</f>
        <v/>
      </c>
    </row>
    <row r="14">
      <c r="A14" s="10" t="inlineStr">
        <is>
          <t>U 92x38x0,95</t>
        </is>
      </c>
      <c r="B14" s="44" t="n">
        <v>4890</v>
      </c>
      <c r="C14" s="45" t="n">
        <v>1</v>
      </c>
      <c r="D14" s="10" t="inlineStr">
        <is>
          <t>blocking</t>
        </is>
      </c>
      <c r="E14" s="46" t="n">
        <v>6.012</v>
      </c>
      <c r="F14" s="14">
        <f>C14*E14</f>
        <v/>
      </c>
    </row>
    <row r="15">
      <c r="A15" s="10" t="inlineStr">
        <is>
          <t>U 92x38x0,95</t>
        </is>
      </c>
      <c r="B15" s="44" t="n">
        <v>4200</v>
      </c>
      <c r="C15" s="45" t="n">
        <v>4</v>
      </c>
      <c r="D15" s="10" t="inlineStr">
        <is>
          <t>blocking, track</t>
        </is>
      </c>
      <c r="E15" s="46" t="n">
        <v>5.163</v>
      </c>
      <c r="F15" s="14">
        <f>C15*E15</f>
        <v/>
      </c>
    </row>
    <row r="16">
      <c r="A16" s="10" t="inlineStr">
        <is>
          <t>U 92x38x0,95</t>
        </is>
      </c>
      <c r="B16" s="44" t="n">
        <v>3600</v>
      </c>
      <c r="C16" s="45" t="n">
        <v>96</v>
      </c>
      <c r="D16" s="10" t="inlineStr">
        <is>
          <t>blocking, track</t>
        </is>
      </c>
      <c r="E16" s="46" t="n">
        <v>4.426</v>
      </c>
      <c r="F16" s="14">
        <f>C16*E16</f>
        <v/>
      </c>
    </row>
    <row r="17">
      <c r="A17" s="10" t="inlineStr">
        <is>
          <t>U 92x38x0,95</t>
        </is>
      </c>
      <c r="B17" s="44" t="n">
        <v>3000</v>
      </c>
      <c r="C17" s="45" t="n">
        <v>57</v>
      </c>
      <c r="D17" s="10" t="inlineStr">
        <is>
          <t>blocking, track, travamento</t>
        </is>
      </c>
      <c r="E17" s="46" t="n">
        <v>3.688</v>
      </c>
      <c r="F17" s="14">
        <f>C17*E17</f>
        <v/>
      </c>
    </row>
    <row r="18">
      <c r="A18" s="10" t="inlineStr">
        <is>
          <t>U 92x38x0,95</t>
        </is>
      </c>
      <c r="B18" s="44" t="n">
        <v>2400</v>
      </c>
      <c r="C18" s="45" t="n">
        <v>52</v>
      </c>
      <c r="D18" s="10" t="inlineStr">
        <is>
          <t>blocking, track</t>
        </is>
      </c>
      <c r="E18" s="46" t="n">
        <v>2.95</v>
      </c>
      <c r="F18" s="14">
        <f>C18*E18</f>
        <v/>
      </c>
    </row>
    <row r="19">
      <c r="A19" s="10" t="inlineStr">
        <is>
          <t>U 92x38x0,95</t>
        </is>
      </c>
      <c r="B19" s="44" t="n">
        <v>2310</v>
      </c>
      <c r="C19" s="45" t="n">
        <v>1</v>
      </c>
      <c r="D19" s="10" t="inlineStr">
        <is>
          <t>blocking</t>
        </is>
      </c>
      <c r="E19" s="46" t="n">
        <v>2.84</v>
      </c>
      <c r="F19" s="14">
        <f>C19*E19</f>
        <v/>
      </c>
    </row>
    <row r="20">
      <c r="A20" s="10" t="inlineStr">
        <is>
          <t>U 92x38x0,95</t>
        </is>
      </c>
      <c r="B20" s="44" t="n">
        <v>2000</v>
      </c>
      <c r="C20" s="45" t="n">
        <v>5</v>
      </c>
      <c r="D20" s="10" t="inlineStr">
        <is>
          <t>sill</t>
        </is>
      </c>
      <c r="E20" s="46" t="n">
        <v>2.459</v>
      </c>
      <c r="F20" s="14">
        <f>C20*E20</f>
        <v/>
      </c>
    </row>
    <row r="21">
      <c r="A21" s="10" t="inlineStr">
        <is>
          <t>U 92x38x0,95</t>
        </is>
      </c>
      <c r="B21" s="44" t="n">
        <v>1800</v>
      </c>
      <c r="C21" s="45" t="n">
        <v>25</v>
      </c>
      <c r="D21" s="10" t="inlineStr">
        <is>
          <t>blocking, track</t>
        </is>
      </c>
      <c r="E21" s="46" t="n">
        <v>2.213</v>
      </c>
      <c r="F21" s="14">
        <f>C21*E21</f>
        <v/>
      </c>
    </row>
    <row r="22">
      <c r="A22" s="10" t="inlineStr">
        <is>
          <t>U 92x38x0,95</t>
        </is>
      </c>
      <c r="B22" s="44" t="n">
        <v>1710</v>
      </c>
      <c r="C22" s="45" t="n">
        <v>1</v>
      </c>
      <c r="D22" s="10" t="inlineStr">
        <is>
          <t>track</t>
        </is>
      </c>
      <c r="E22" s="46" t="n">
        <v>2.102</v>
      </c>
      <c r="F22" s="14">
        <f>C22*E22</f>
        <v/>
      </c>
    </row>
    <row r="23">
      <c r="A23" s="10" t="inlineStr">
        <is>
          <t>U 92x38x0,95</t>
        </is>
      </c>
      <c r="B23" s="44" t="n">
        <v>1400</v>
      </c>
      <c r="C23" s="45" t="n">
        <v>8</v>
      </c>
      <c r="D23" s="10" t="inlineStr">
        <is>
          <t>sill</t>
        </is>
      </c>
      <c r="E23" s="46" t="n">
        <v>1.721</v>
      </c>
      <c r="F23" s="14">
        <f>C23*E23</f>
        <v/>
      </c>
    </row>
    <row r="24">
      <c r="A24" s="10" t="inlineStr">
        <is>
          <t>U 92x38x0,95</t>
        </is>
      </c>
      <c r="B24" s="44" t="n">
        <v>1200</v>
      </c>
      <c r="C24" s="45" t="n">
        <v>21</v>
      </c>
      <c r="D24" s="10" t="inlineStr">
        <is>
          <t>blocking, track</t>
        </is>
      </c>
      <c r="E24" s="46" t="n">
        <v>1.475</v>
      </c>
      <c r="F24" s="14">
        <f>C24*E24</f>
        <v/>
      </c>
    </row>
    <row r="25">
      <c r="A25" s="10" t="inlineStr">
        <is>
          <t>U 92x38x0,95</t>
        </is>
      </c>
      <c r="B25" s="44" t="n">
        <v>1000</v>
      </c>
      <c r="C25" s="45" t="n">
        <v>25</v>
      </c>
      <c r="D25" s="10" t="inlineStr">
        <is>
          <t>degrau, sill</t>
        </is>
      </c>
      <c r="E25" s="46" t="n">
        <v>1.229</v>
      </c>
      <c r="F25" s="14">
        <f>C25*E25</f>
        <v/>
      </c>
    </row>
    <row r="26">
      <c r="A26" s="10" t="inlineStr">
        <is>
          <t>U 92x38x0,95</t>
        </is>
      </c>
      <c r="B26" s="44" t="n">
        <v>800</v>
      </c>
      <c r="C26" s="45" t="n">
        <v>1</v>
      </c>
      <c r="D26" s="10" t="inlineStr">
        <is>
          <t>sill</t>
        </is>
      </c>
      <c r="E26" s="46" t="n">
        <v>0.983</v>
      </c>
      <c r="F26" s="14">
        <f>C26*E26</f>
        <v/>
      </c>
    </row>
    <row r="27">
      <c r="A27" s="10" t="inlineStr">
        <is>
          <t>U 92x38x0,95</t>
        </is>
      </c>
      <c r="B27" s="44" t="n">
        <v>600</v>
      </c>
      <c r="C27" s="45" t="n">
        <v>24</v>
      </c>
      <c r="D27" s="10" t="inlineStr">
        <is>
          <t>blocking, track</t>
        </is>
      </c>
      <c r="E27" s="46" t="n">
        <v>0.738</v>
      </c>
      <c r="F27" s="14">
        <f>C27*E27</f>
        <v/>
      </c>
    </row>
    <row r="28">
      <c r="A28" s="10" t="inlineStr">
        <is>
          <t>Ue 140x40x12x0,80</t>
        </is>
      </c>
      <c r="B28" s="44" t="n">
        <v>7200</v>
      </c>
      <c r="C28" s="45" t="n">
        <v>2</v>
      </c>
      <c r="D28" s="10" t="inlineStr">
        <is>
          <t>viga de borda</t>
        </is>
      </c>
      <c r="E28" s="46" t="n">
        <v>10.829</v>
      </c>
      <c r="F28" s="14">
        <f>C28*E28</f>
        <v/>
      </c>
    </row>
    <row r="29">
      <c r="A29" s="10" t="inlineStr">
        <is>
          <t>Ue 140x40x12x0,80</t>
        </is>
      </c>
      <c r="B29" s="44" t="n">
        <v>4800</v>
      </c>
      <c r="C29" s="45" t="n">
        <v>2</v>
      </c>
      <c r="D29" s="10" t="inlineStr">
        <is>
          <t>viga de borda</t>
        </is>
      </c>
      <c r="E29" s="46" t="n">
        <v>7.219</v>
      </c>
      <c r="F29" s="14">
        <f>C29*E29</f>
        <v/>
      </c>
    </row>
    <row r="30">
      <c r="A30" s="10" t="inlineStr">
        <is>
          <t>Ue 140x40x12x0,80</t>
        </is>
      </c>
      <c r="B30" s="44" t="n">
        <v>4500</v>
      </c>
      <c r="C30" s="45" t="n">
        <v>4</v>
      </c>
      <c r="D30" s="10" t="inlineStr">
        <is>
          <t>viga de borda</t>
        </is>
      </c>
      <c r="E30" s="46" t="n">
        <v>6.768</v>
      </c>
      <c r="F30" s="14">
        <f>C30*E30</f>
        <v/>
      </c>
    </row>
    <row r="31">
      <c r="A31" s="10" t="inlineStr">
        <is>
          <t>Ue 140x40x12x0,80</t>
        </is>
      </c>
      <c r="B31" s="44" t="n">
        <v>3600</v>
      </c>
      <c r="C31" s="45" t="n">
        <v>4</v>
      </c>
      <c r="D31" s="10" t="inlineStr">
        <is>
          <t>viga de borda</t>
        </is>
      </c>
      <c r="E31" s="46" t="n">
        <v>5.414</v>
      </c>
      <c r="F31" s="14">
        <f>C31*E31</f>
        <v/>
      </c>
    </row>
    <row r="32">
      <c r="A32" s="10" t="inlineStr">
        <is>
          <t>Ue 140x40x12x0,80</t>
        </is>
      </c>
      <c r="B32" s="44" t="n">
        <v>3000</v>
      </c>
      <c r="C32" s="45" t="n">
        <v>23</v>
      </c>
      <c r="D32" s="10" t="inlineStr">
        <is>
          <t>viga, viga de borda</t>
        </is>
      </c>
      <c r="E32" s="46" t="n">
        <v>4.512</v>
      </c>
      <c r="F32" s="14">
        <f>C32*E32</f>
        <v/>
      </c>
    </row>
    <row r="33">
      <c r="A33" s="10" t="inlineStr">
        <is>
          <t>Ue 140x40x12x0,80</t>
        </is>
      </c>
      <c r="B33" s="44" t="n">
        <v>2400</v>
      </c>
      <c r="C33" s="45" t="n">
        <v>15</v>
      </c>
      <c r="D33" s="10" t="inlineStr">
        <is>
          <t>viga</t>
        </is>
      </c>
      <c r="E33" s="46" t="n">
        <v>3.61</v>
      </c>
      <c r="F33" s="14">
        <f>C33*E33</f>
        <v/>
      </c>
    </row>
    <row r="34">
      <c r="A34" s="10" t="inlineStr">
        <is>
          <t>Ue 140x40x12x0,80</t>
        </is>
      </c>
      <c r="B34" s="44" t="n">
        <v>1200</v>
      </c>
      <c r="C34" s="45" t="n">
        <v>30</v>
      </c>
      <c r="D34" s="10" t="inlineStr">
        <is>
          <t>viga</t>
        </is>
      </c>
      <c r="E34" s="46" t="n">
        <v>1.805</v>
      </c>
      <c r="F34" s="14">
        <f>C34*E34</f>
        <v/>
      </c>
    </row>
    <row r="35">
      <c r="A35" s="10" t="inlineStr">
        <is>
          <t>Ue 140x40x12x1,25</t>
        </is>
      </c>
      <c r="B35" s="44" t="n">
        <v>4800</v>
      </c>
      <c r="C35" s="45" t="n">
        <v>2</v>
      </c>
      <c r="D35" s="10" t="inlineStr">
        <is>
          <t>viga de borda</t>
        </is>
      </c>
      <c r="E35" s="46" t="n">
        <v>11.109</v>
      </c>
      <c r="F35" s="14">
        <f>C35*E35</f>
        <v/>
      </c>
    </row>
    <row r="36">
      <c r="A36" s="10" t="inlineStr">
        <is>
          <t>Ue 140x40x12x1,25</t>
        </is>
      </c>
      <c r="B36" s="44" t="n">
        <v>3000</v>
      </c>
      <c r="C36" s="45" t="n">
        <v>2</v>
      </c>
      <c r="D36" s="10" t="inlineStr">
        <is>
          <t>viga de borda</t>
        </is>
      </c>
      <c r="E36" s="46" t="n">
        <v>6.943</v>
      </c>
      <c r="F36" s="14">
        <f>C36*E36</f>
        <v/>
      </c>
    </row>
    <row r="37">
      <c r="A37" s="10" t="inlineStr">
        <is>
          <t>Ue 140x40x12x1,25</t>
        </is>
      </c>
      <c r="B37" s="44" t="n">
        <v>2400</v>
      </c>
      <c r="C37" s="45" t="n">
        <v>15</v>
      </c>
      <c r="D37" s="10" t="inlineStr">
        <is>
          <t>viga</t>
        </is>
      </c>
      <c r="E37" s="46" t="n">
        <v>5.554</v>
      </c>
      <c r="F37" s="14">
        <f>C37*E37</f>
        <v/>
      </c>
    </row>
    <row r="38">
      <c r="A38" s="10" t="inlineStr">
        <is>
          <t>Ue 200x40x12x0,95</t>
        </is>
      </c>
      <c r="B38" s="44" t="n">
        <v>5400</v>
      </c>
      <c r="C38" s="45" t="n">
        <v>4</v>
      </c>
      <c r="D38" s="10" t="inlineStr">
        <is>
          <t>viga de borda</t>
        </is>
      </c>
      <c r="E38" s="46" t="n">
        <v>12.027</v>
      </c>
      <c r="F38" s="14">
        <f>C38*E38</f>
        <v/>
      </c>
    </row>
    <row r="39">
      <c r="A39" s="10" t="inlineStr">
        <is>
          <t>Ue 200x40x12x0,95</t>
        </is>
      </c>
      <c r="B39" s="44" t="n">
        <v>4800</v>
      </c>
      <c r="C39" s="45" t="n">
        <v>20</v>
      </c>
      <c r="D39" s="10" t="inlineStr">
        <is>
          <t>viga</t>
        </is>
      </c>
      <c r="E39" s="46" t="n">
        <v>10.69</v>
      </c>
      <c r="F39" s="14">
        <f>C39*E39</f>
        <v/>
      </c>
    </row>
    <row r="40">
      <c r="A40" s="10" t="inlineStr">
        <is>
          <t>Ue 200x40x12x1,25</t>
        </is>
      </c>
      <c r="B40" s="44" t="n">
        <v>7800</v>
      </c>
      <c r="C40" s="45" t="n">
        <v>2</v>
      </c>
      <c r="D40" s="10" t="inlineStr">
        <is>
          <t>viga de borda</t>
        </is>
      </c>
      <c r="E40" s="46" t="n">
        <v>22.644</v>
      </c>
      <c r="F40" s="14">
        <f>C40*E40</f>
        <v/>
      </c>
    </row>
    <row r="41">
      <c r="A41" s="10" t="inlineStr">
        <is>
          <t>Ue 200x40x12x1,25</t>
        </is>
      </c>
      <c r="B41" s="44" t="n">
        <v>6000</v>
      </c>
      <c r="C41" s="45" t="n">
        <v>14</v>
      </c>
      <c r="D41" s="10" t="inlineStr">
        <is>
          <t>viga</t>
        </is>
      </c>
      <c r="E41" s="46" t="n">
        <v>17.419</v>
      </c>
      <c r="F41" s="14">
        <f>C41*E41</f>
        <v/>
      </c>
    </row>
    <row r="42">
      <c r="A42" s="10" t="inlineStr">
        <is>
          <t>Ue 250x40x12x1,25</t>
        </is>
      </c>
      <c r="B42" s="44" t="n">
        <v>3012</v>
      </c>
      <c r="C42" s="45" t="n">
        <v>4</v>
      </c>
      <c r="D42" s="10" t="inlineStr">
        <is>
          <t>viga de escada</t>
        </is>
      </c>
      <c r="E42" s="46" t="n">
        <v>10.222</v>
      </c>
      <c r="F42" s="14">
        <f>C42*E42</f>
        <v/>
      </c>
    </row>
    <row r="43">
      <c r="A43" s="10" t="inlineStr">
        <is>
          <t>Ue 250x40x12x2,25</t>
        </is>
      </c>
      <c r="B43" s="44" t="n">
        <v>5400</v>
      </c>
      <c r="C43" s="45" t="n">
        <v>4</v>
      </c>
      <c r="D43" s="10" t="inlineStr">
        <is>
          <t>viga de borda</t>
        </is>
      </c>
      <c r="E43" s="46" t="n">
        <v>32.366</v>
      </c>
      <c r="F43" s="14">
        <f>C43*E43</f>
        <v/>
      </c>
    </row>
    <row r="44">
      <c r="A44" s="10" t="inlineStr">
        <is>
          <t>Ue 250x40x12x2,25</t>
        </is>
      </c>
      <c r="B44" s="44" t="n">
        <v>4800</v>
      </c>
      <c r="C44" s="45" t="n">
        <v>20</v>
      </c>
      <c r="D44" s="10" t="inlineStr">
        <is>
          <t>viga</t>
        </is>
      </c>
      <c r="E44" s="46" t="n">
        <v>28.77</v>
      </c>
      <c r="F44" s="14">
        <f>C44*E44</f>
        <v/>
      </c>
    </row>
    <row r="45">
      <c r="A45" s="10" t="inlineStr">
        <is>
          <t>Ue 250x40x15x3,00</t>
        </is>
      </c>
      <c r="B45" s="44" t="n">
        <v>7800</v>
      </c>
      <c r="C45" s="45" t="n">
        <v>2</v>
      </c>
      <c r="D45" s="10" t="inlineStr">
        <is>
          <t>viga de borda</t>
        </is>
      </c>
      <c r="E45" s="46" t="n">
        <v>62.539</v>
      </c>
      <c r="F45" s="14">
        <f>C45*E45</f>
        <v/>
      </c>
    </row>
    <row r="46">
      <c r="A46" s="10" t="inlineStr">
        <is>
          <t>Ue 250x40x15x3,00</t>
        </is>
      </c>
      <c r="B46" s="44" t="n">
        <v>6000</v>
      </c>
      <c r="C46" s="45" t="n">
        <v>20</v>
      </c>
      <c r="D46" s="10" t="inlineStr">
        <is>
          <t>viga</t>
        </is>
      </c>
      <c r="E46" s="46" t="n">
        <v>48.107</v>
      </c>
      <c r="F46" s="14">
        <f>C46*E46</f>
        <v/>
      </c>
    </row>
    <row r="47">
      <c r="A47" s="10" t="inlineStr">
        <is>
          <t>Ue 90x40x12x0,95</t>
        </is>
      </c>
      <c r="B47" s="44" t="n">
        <v>2900</v>
      </c>
      <c r="C47" s="45" t="n">
        <v>363</v>
      </c>
      <c r="D47" s="10" t="inlineStr">
        <is>
          <t>king stud, stud</t>
        </is>
      </c>
      <c r="E47" s="46" t="n">
        <v>4.08</v>
      </c>
      <c r="F47" s="14">
        <f>C47*E47</f>
        <v/>
      </c>
    </row>
    <row r="48">
      <c r="A48" s="10" t="inlineStr">
        <is>
          <t>Ue 90x40x12x0,95</t>
        </is>
      </c>
      <c r="B48" s="44" t="n">
        <v>2800</v>
      </c>
      <c r="C48" s="45" t="n">
        <v>2</v>
      </c>
      <c r="D48" s="10" t="inlineStr">
        <is>
          <t>jack stud</t>
        </is>
      </c>
      <c r="E48" s="46" t="n">
        <v>3.939</v>
      </c>
      <c r="F48" s="14">
        <f>C48*E48</f>
        <v/>
      </c>
    </row>
    <row r="49">
      <c r="A49" s="10" t="inlineStr">
        <is>
          <t>Ue 90x40x12x0,95</t>
        </is>
      </c>
      <c r="B49" s="44" t="n">
        <v>2400</v>
      </c>
      <c r="C49" s="45" t="n">
        <v>20</v>
      </c>
      <c r="D49" s="10" t="inlineStr">
        <is>
          <t>jack stud</t>
        </is>
      </c>
      <c r="E49" s="46" t="n">
        <v>3.376</v>
      </c>
      <c r="F49" s="14">
        <f>C49*E49</f>
        <v/>
      </c>
    </row>
    <row r="50">
      <c r="A50" s="10" t="inlineStr">
        <is>
          <t>Ue 90x40x12x0,95</t>
        </is>
      </c>
      <c r="B50" s="44" t="n">
        <v>2300</v>
      </c>
      <c r="C50" s="45" t="n">
        <v>24</v>
      </c>
      <c r="D50" s="10" t="inlineStr">
        <is>
          <t>jack stud</t>
        </is>
      </c>
      <c r="E50" s="46" t="n">
        <v>3.236</v>
      </c>
      <c r="F50" s="14">
        <f>C50*E50</f>
        <v/>
      </c>
    </row>
    <row r="51">
      <c r="A51" s="10" t="inlineStr">
        <is>
          <t>Ue 90x40x12x0,95</t>
        </is>
      </c>
      <c r="B51" s="44" t="n">
        <v>2100</v>
      </c>
      <c r="C51" s="45" t="n">
        <v>26</v>
      </c>
      <c r="D51" s="10" t="inlineStr">
        <is>
          <t>jack stud</t>
        </is>
      </c>
      <c r="E51" s="46" t="n">
        <v>2.954</v>
      </c>
      <c r="F51" s="14">
        <f>C51*E51</f>
        <v/>
      </c>
    </row>
    <row r="52">
      <c r="A52" s="10" t="inlineStr">
        <is>
          <t>Ue 90x40x12x0,95</t>
        </is>
      </c>
      <c r="B52" s="44" t="n">
        <v>1408</v>
      </c>
      <c r="C52" s="45" t="n">
        <v>9</v>
      </c>
      <c r="D52" s="10" t="inlineStr">
        <is>
          <t>cripple inferior</t>
        </is>
      </c>
      <c r="E52" s="46" t="n">
        <v>1.981</v>
      </c>
      <c r="F52" s="14">
        <f>C52*E52</f>
        <v/>
      </c>
    </row>
    <row r="53">
      <c r="A53" s="10" t="inlineStr">
        <is>
          <t>Ue 90x40x12x0,95</t>
        </is>
      </c>
      <c r="B53" s="44" t="n">
        <v>1008</v>
      </c>
      <c r="C53" s="45" t="n">
        <v>39</v>
      </c>
      <c r="D53" s="10" t="inlineStr">
        <is>
          <t>cripple inferior</t>
        </is>
      </c>
      <c r="E53" s="46" t="n">
        <v>1.418</v>
      </c>
      <c r="F53" s="14">
        <f>C53*E53</f>
        <v/>
      </c>
    </row>
    <row r="54">
      <c r="A54" s="10" t="inlineStr">
        <is>
          <t>Ue 90x40x12x0,95</t>
        </is>
      </c>
      <c r="B54" s="44" t="n">
        <v>710</v>
      </c>
      <c r="C54" s="45" t="n">
        <v>19</v>
      </c>
      <c r="D54" s="10" t="inlineStr">
        <is>
          <t>cripple superior</t>
        </is>
      </c>
      <c r="E54" s="46" t="n">
        <v>0.999</v>
      </c>
      <c r="F54" s="14">
        <f>C54*E54</f>
        <v/>
      </c>
    </row>
    <row r="55">
      <c r="A55" s="10" t="inlineStr">
        <is>
          <t>Ue 90x40x12x0,95</t>
        </is>
      </c>
      <c r="B55" s="44" t="n">
        <v>510</v>
      </c>
      <c r="C55" s="45" t="n">
        <v>39</v>
      </c>
      <c r="D55" s="10" t="inlineStr">
        <is>
          <t>cripple superior</t>
        </is>
      </c>
      <c r="E55" s="46" t="n">
        <v>0.717</v>
      </c>
      <c r="F55" s="14">
        <f>C55*E55</f>
        <v/>
      </c>
    </row>
    <row r="56">
      <c r="A56" s="10" t="inlineStr">
        <is>
          <t>Ue 90x40x12x0,95</t>
        </is>
      </c>
      <c r="B56" s="44" t="n">
        <v>410</v>
      </c>
      <c r="C56" s="45" t="n">
        <v>35</v>
      </c>
      <c r="D56" s="10" t="inlineStr">
        <is>
          <t>cripple superior</t>
        </is>
      </c>
      <c r="E56" s="46" t="n">
        <v>0.577</v>
      </c>
      <c r="F56" s="14">
        <f>C56*E56</f>
        <v/>
      </c>
    </row>
    <row r="57">
      <c r="A57" s="10" t="inlineStr">
        <is>
          <t>Ue 90x40x12x0,95</t>
        </is>
      </c>
      <c r="B57" s="44" t="n">
        <v>210</v>
      </c>
      <c r="C57" s="45" t="n">
        <v>12</v>
      </c>
      <c r="D57" s="10" t="inlineStr">
        <is>
          <t>cripple superior</t>
        </is>
      </c>
      <c r="E57" s="46" t="n">
        <v>0.295</v>
      </c>
      <c r="F57" s="14">
        <f>C57*E57</f>
        <v/>
      </c>
    </row>
    <row r="58">
      <c r="A58" s="10" t="inlineStr">
        <is>
          <t>Ue 90x40x12x1,25</t>
        </is>
      </c>
      <c r="B58" s="44" t="n">
        <v>6000</v>
      </c>
      <c r="C58" s="45" t="n">
        <v>1</v>
      </c>
      <c r="D58" s="10" t="inlineStr">
        <is>
          <t>header</t>
        </is>
      </c>
      <c r="E58" s="46" t="n">
        <v>10.942</v>
      </c>
      <c r="F58" s="14">
        <f>C58*E58</f>
        <v/>
      </c>
    </row>
    <row r="59">
      <c r="A59" s="10" t="inlineStr">
        <is>
          <t>Ue 90x40x12x1,25</t>
        </is>
      </c>
      <c r="B59" s="44" t="n">
        <v>5600</v>
      </c>
      <c r="C59" s="45" t="n">
        <v>1</v>
      </c>
      <c r="D59" s="10" t="inlineStr">
        <is>
          <t>header</t>
        </is>
      </c>
      <c r="E59" s="46" t="n">
        <v>10.213</v>
      </c>
      <c r="F59" s="14">
        <f>C59*E59</f>
        <v/>
      </c>
    </row>
    <row r="60">
      <c r="A60" s="10" t="inlineStr">
        <is>
          <t>Ue 90x40x12x1,25</t>
        </is>
      </c>
      <c r="B60" s="44" t="n">
        <v>2900</v>
      </c>
      <c r="C60" s="45" t="n">
        <v>6</v>
      </c>
      <c r="D60" s="10" t="inlineStr">
        <is>
          <t>king stud</t>
        </is>
      </c>
      <c r="E60" s="46" t="n">
        <v>5.289</v>
      </c>
      <c r="F60" s="14">
        <f>C60*E60</f>
        <v/>
      </c>
    </row>
    <row r="61">
      <c r="A61" s="10" t="inlineStr">
        <is>
          <t>Ue 90x40x12x1,25</t>
        </is>
      </c>
      <c r="B61" s="44" t="n">
        <v>2600</v>
      </c>
      <c r="C61" s="45" t="n">
        <v>5</v>
      </c>
      <c r="D61" s="10" t="inlineStr">
        <is>
          <t>header, jack stud</t>
        </is>
      </c>
      <c r="E61" s="46" t="n">
        <v>4.742</v>
      </c>
      <c r="F61" s="14">
        <f>C61*E61</f>
        <v/>
      </c>
    </row>
    <row r="62">
      <c r="A62" s="10" t="inlineStr">
        <is>
          <t>Ue 90x40x12x1,25</t>
        </is>
      </c>
      <c r="B62" s="44" t="n">
        <v>2500</v>
      </c>
      <c r="C62" s="45" t="n">
        <v>1</v>
      </c>
      <c r="D62" s="10" t="inlineStr">
        <is>
          <t>header</t>
        </is>
      </c>
      <c r="E62" s="46" t="n">
        <v>4.559</v>
      </c>
      <c r="F62" s="14">
        <f>C62*E62</f>
        <v/>
      </c>
    </row>
    <row r="63">
      <c r="A63" s="10" t="inlineStr">
        <is>
          <t>Ue 90x40x12x1,25</t>
        </is>
      </c>
      <c r="B63" s="44" t="n">
        <v>2300</v>
      </c>
      <c r="C63" s="45" t="n">
        <v>2</v>
      </c>
      <c r="D63" s="10" t="inlineStr">
        <is>
          <t>jack stud</t>
        </is>
      </c>
      <c r="E63" s="46" t="n">
        <v>4.195</v>
      </c>
      <c r="F63" s="14">
        <f>C63*E63</f>
        <v/>
      </c>
    </row>
    <row r="64">
      <c r="A64" s="10" t="inlineStr">
        <is>
          <t>Ue 90x40x12x1,25</t>
        </is>
      </c>
      <c r="B64" s="44" t="n">
        <v>2100</v>
      </c>
      <c r="C64" s="45" t="n">
        <v>2</v>
      </c>
      <c r="D64" s="10" t="inlineStr">
        <is>
          <t>jack stud</t>
        </is>
      </c>
      <c r="E64" s="46" t="n">
        <v>3.83</v>
      </c>
      <c r="F64" s="14">
        <f>C64*E64</f>
        <v/>
      </c>
    </row>
    <row r="65">
      <c r="A65" s="10" t="inlineStr">
        <is>
          <t>Ue 90x40x12x1,25</t>
        </is>
      </c>
      <c r="B65" s="44" t="n">
        <v>2000</v>
      </c>
      <c r="C65" s="45" t="n">
        <v>5</v>
      </c>
      <c r="D65" s="10" t="inlineStr">
        <is>
          <t>header</t>
        </is>
      </c>
      <c r="E65" s="46" t="n">
        <v>3.647</v>
      </c>
      <c r="F65" s="14">
        <f>C65*E65</f>
        <v/>
      </c>
    </row>
    <row r="66">
      <c r="A66" s="10" t="inlineStr">
        <is>
          <t>Ue 90x40x12x1,25</t>
        </is>
      </c>
      <c r="B66" s="44" t="n">
        <v>1400</v>
      </c>
      <c r="C66" s="45" t="n">
        <v>8</v>
      </c>
      <c r="D66" s="10" t="inlineStr">
        <is>
          <t>header</t>
        </is>
      </c>
      <c r="E66" s="46" t="n">
        <v>2.553</v>
      </c>
      <c r="F66" s="14">
        <f>C66*E66</f>
        <v/>
      </c>
    </row>
    <row r="67">
      <c r="A67" s="10" t="inlineStr">
        <is>
          <t>Ue 90x40x12x1,25</t>
        </is>
      </c>
      <c r="B67" s="44" t="n">
        <v>1200</v>
      </c>
      <c r="C67" s="45" t="n">
        <v>1</v>
      </c>
      <c r="D67" s="10" t="inlineStr">
        <is>
          <t>header</t>
        </is>
      </c>
      <c r="E67" s="46" t="n">
        <v>2.188</v>
      </c>
      <c r="F67" s="14">
        <f>C67*E67</f>
        <v/>
      </c>
    </row>
    <row r="68">
      <c r="A68" s="10" t="inlineStr">
        <is>
          <t>Ue 90x40x12x1,25</t>
        </is>
      </c>
      <c r="B68" s="44" t="n">
        <v>1100</v>
      </c>
      <c r="C68" s="45" t="n">
        <v>13</v>
      </c>
      <c r="D68" s="10" t="inlineStr">
        <is>
          <t>header</t>
        </is>
      </c>
      <c r="E68" s="46" t="n">
        <v>2.006</v>
      </c>
      <c r="F68" s="14">
        <f>C68*E68</f>
        <v/>
      </c>
    </row>
    <row r="69">
      <c r="A69" s="10" t="inlineStr">
        <is>
          <t>Ue 90x40x12x1,25</t>
        </is>
      </c>
      <c r="B69" s="44" t="n">
        <v>1000</v>
      </c>
      <c r="C69" s="45" t="n">
        <v>5</v>
      </c>
      <c r="D69" s="10" t="inlineStr">
        <is>
          <t>header</t>
        </is>
      </c>
      <c r="E69" s="46" t="n">
        <v>1.824</v>
      </c>
      <c r="F69" s="14">
        <f>C69*E69</f>
        <v/>
      </c>
    </row>
    <row r="70">
      <c r="A70" s="10" t="inlineStr">
        <is>
          <t>Ue 90x40x12x1,25</t>
        </is>
      </c>
      <c r="B70" s="44" t="n">
        <v>800</v>
      </c>
      <c r="C70" s="45" t="n">
        <v>1</v>
      </c>
      <c r="D70" s="10" t="inlineStr">
        <is>
          <t>header</t>
        </is>
      </c>
      <c r="E70" s="46" t="n">
        <v>1.459</v>
      </c>
      <c r="F70" s="14">
        <f>C70*E70</f>
        <v/>
      </c>
    </row>
    <row r="71">
      <c r="A71" s="22" t="n"/>
      <c r="B71" s="22" t="n"/>
      <c r="C71" s="28">
        <f>SUM(C5:C70)</f>
        <v/>
      </c>
      <c r="D71" s="47" t="inlineStr">
        <is>
          <t>TOTAL</t>
        </is>
      </c>
      <c r="E71" s="22" t="n"/>
      <c r="F71" s="48">
        <f>SUM(F5:F70)</f>
        <v/>
      </c>
    </row>
    <row r="73">
      <c r="A73" s="3" t="inlineStr">
        <is>
          <t>BARRAS POR PERFIL</t>
        </is>
      </c>
    </row>
    <row r="74">
      <c r="A74" s="26" t="inlineStr">
        <is>
          <t>PERFIL</t>
        </is>
      </c>
      <c r="B74" s="26" t="inlineStr">
        <is>
          <t>BARRAS DE 6.000 mm</t>
        </is>
      </c>
      <c r="C74" s="26" t="inlineStr">
        <is>
          <t>PEÇAS CORTADAS</t>
        </is>
      </c>
    </row>
    <row r="75">
      <c r="A75" s="10" t="inlineStr">
        <is>
          <t>Fita 38x0,80</t>
        </is>
      </c>
      <c r="B75" s="45" t="n">
        <v>38</v>
      </c>
      <c r="C75" s="18" t="n">
        <v>38</v>
      </c>
    </row>
    <row r="76">
      <c r="A76" s="10" t="inlineStr">
        <is>
          <t>U 92x38x0,95</t>
        </is>
      </c>
      <c r="B76" s="45" t="n">
        <v>169</v>
      </c>
      <c r="C76" s="18" t="n">
        <v>335</v>
      </c>
    </row>
    <row r="77">
      <c r="A77" s="10" t="inlineStr">
        <is>
          <t>Ue 140x40x12x0,80</t>
        </is>
      </c>
      <c r="B77" s="45" t="n">
        <v>35</v>
      </c>
      <c r="C77" s="18" t="n">
        <v>80</v>
      </c>
    </row>
    <row r="78">
      <c r="A78" s="10" t="inlineStr">
        <is>
          <t>Ue 140x40x12x1,25</t>
        </is>
      </c>
      <c r="B78" s="45" t="n">
        <v>11</v>
      </c>
      <c r="C78" s="18" t="n">
        <v>19</v>
      </c>
    </row>
    <row r="79">
      <c r="A79" s="10" t="inlineStr">
        <is>
          <t>Ue 200x40x12x0,95</t>
        </is>
      </c>
      <c r="B79" s="45" t="n">
        <v>24</v>
      </c>
      <c r="C79" s="18" t="n">
        <v>24</v>
      </c>
    </row>
    <row r="80">
      <c r="A80" s="10" t="inlineStr">
        <is>
          <t>Ue 200x40x12x1,25</t>
        </is>
      </c>
      <c r="B80" s="45" t="n">
        <v>14</v>
      </c>
      <c r="C80" s="18" t="n">
        <v>16</v>
      </c>
    </row>
    <row r="81">
      <c r="A81" s="10" t="inlineStr">
        <is>
          <t>Ue 250x40x12x1,25</t>
        </is>
      </c>
      <c r="B81" s="45" t="n">
        <v>4</v>
      </c>
      <c r="C81" s="18" t="n">
        <v>4</v>
      </c>
    </row>
    <row r="82">
      <c r="A82" s="10" t="inlineStr">
        <is>
          <t>Ue 250x40x12x2,25</t>
        </is>
      </c>
      <c r="B82" s="45" t="n">
        <v>24</v>
      </c>
      <c r="C82" s="18" t="n">
        <v>24</v>
      </c>
    </row>
    <row r="83">
      <c r="A83" s="10" t="inlineStr">
        <is>
          <t>Ue 250x40x15x3,00</t>
        </is>
      </c>
      <c r="B83" s="45" t="n">
        <v>20</v>
      </c>
      <c r="C83" s="18" t="n">
        <v>22</v>
      </c>
    </row>
    <row r="84">
      <c r="A84" s="10" t="inlineStr">
        <is>
          <t>Ue 90x40x12x0,95</t>
        </is>
      </c>
      <c r="B84" s="45" t="n">
        <v>228</v>
      </c>
      <c r="C84" s="18" t="n">
        <v>588</v>
      </c>
    </row>
    <row r="85">
      <c r="A85" s="10" t="inlineStr">
        <is>
          <t>Ue 90x40x12x1,25</t>
        </is>
      </c>
      <c r="B85" s="45" t="n">
        <v>18</v>
      </c>
      <c r="C85" s="18" t="n">
        <v>51</v>
      </c>
    </row>
    <row r="87">
      <c r="A87" s="2" t="inlineStr">
        <is>
          <t>Esta lista NÃO substitui o nesting codificado do fabricante (pendência 8): ela é de estudo, e o fabricante corta pela dele.</t>
        </is>
      </c>
    </row>
  </sheetData>
  <autoFilter ref="A4:F7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2026-09-21T18:40:25Z</dcterms:created>
  <dcterms:modified xsi:type="dcterms:W3CDTF">2026-09-21T18:40:25Z</dcterms:modified>
</cp:coreProperties>
</file>