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'COTAÇÃO'!$A$3:$V$157</definedName>
    <definedName name="_xlnm._FilterDatabase" localSheetId="3" hidden="1">'ESPECIFICAÇÕES'!$A$3:$I$157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5" authorId="0" shapeId="0">
      <text>
        <t>tinta e mao de obra conforme especificacao de acabamento; 2 demaos sobre selador; rendimento declarado na quantidade
NORMAS: NBR 11702, NBR 13245</t>
      </text>
    </comment>
    <comment ref="C10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8" authorId="0" shapeId="0">
      <text>
        <t>tinta e mao de obra conforme especificacao de acabamento; 2 demaos sobre selador; rendimento declarado na quantidade
NORMAS: NBR 11702, NBR 13245</t>
      </text>
    </comment>
    <comment ref="C10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1" authorId="0" shapeId="0">
      <text>
        <t>equipamento novo, com garantia de fabrica e instalacao por credenciado
LACUNA: marca e modelo: a capacidade esta dimensionada, a escolha do equipamento e do proprietario</t>
      </text>
    </comment>
    <comment ref="C12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3" authorId="0" shapeId="0">
      <text>
        <t>equipamento novo, com garantia de fabrica e instalacao por credenciado
LACUNA: marca e modelo: a capacidade esta dimensionada, a escolha do equipamento e do proprietario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7" authorId="0" shapeId="0">
      <text>
        <t>tinta e mao de obra conforme especificacao de acabamento; 2 demaos sobre selador; rendimento declarado na quantidade
NORMAS: NBR 11702, NBR 13245</t>
      </text>
    </comment>
    <comment ref="C12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0" authorId="0" shapeId="0">
      <text>
        <t>equipamento novo, com garantia de fabrica e instalacao por credenciado
LACUNA: marca e modelo: a capacidade esta dimensionada, a escolha do equipamento e do proprietario</t>
      </text>
    </comment>
    <comment ref="C13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R68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COUNTIF(V4:V157,"COMPLETO")&amp;" de "&amp;154&amp;" itens com 5 propostas"</f>
        <v/>
      </c>
      <c r="T2" s="7">
        <f>IF(I158=0,0,SUMIF(V4:V157,"COMPLETO",I4:I157)/I158)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2" t="n">
        <v>355.6</v>
      </c>
      <c r="F93" s="13" t="n">
        <v>0</v>
      </c>
      <c r="G93" s="14">
        <f>E93*(1+F93)</f>
        <v/>
      </c>
      <c r="H93" s="15" t="n">
        <v>118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2" t="n">
        <v>29</v>
      </c>
      <c r="F94" s="13" t="n">
        <v>0</v>
      </c>
      <c r="G94" s="14">
        <f>E94*(1+F94)</f>
        <v/>
      </c>
      <c r="H94" s="15" t="n">
        <v>780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2" t="n">
        <v>12</v>
      </c>
      <c r="F95" s="13" t="n">
        <v>0</v>
      </c>
      <c r="G95" s="14">
        <f>E95*(1+F95)</f>
        <v/>
      </c>
      <c r="H95" s="15" t="n">
        <v>1450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2" t="n">
        <v>155.5</v>
      </c>
      <c r="F97" s="13" t="n">
        <v>0</v>
      </c>
      <c r="G97" s="14">
        <f>E97*(1+F97)</f>
        <v/>
      </c>
      <c r="H97" s="15" t="n">
        <v>96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2" t="n">
        <v>4</v>
      </c>
      <c r="F98" s="13" t="n">
        <v>0</v>
      </c>
      <c r="G98" s="14">
        <f>E98*(1+F98)</f>
        <v/>
      </c>
      <c r="H98" s="15" t="n">
        <v>3200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2" t="n">
        <v>16.1</v>
      </c>
      <c r="F99" s="13" t="n">
        <v>0</v>
      </c>
      <c r="G99" s="14">
        <f>E99*(1+F99)</f>
        <v/>
      </c>
      <c r="H99" s="15" t="n">
        <v>620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2" t="n">
        <v>9.42</v>
      </c>
      <c r="F100" s="13" t="n">
        <v>0</v>
      </c>
      <c r="G100" s="14">
        <f>E100*(1+F100)</f>
        <v/>
      </c>
      <c r="H100" s="15" t="n">
        <v>980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2" t="n">
        <v>7.17</v>
      </c>
      <c r="F102" s="13" t="n">
        <v>0</v>
      </c>
      <c r="G102" s="14">
        <f>E102*(1+F102)</f>
        <v/>
      </c>
      <c r="H102" s="15" t="n">
        <v>1250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2" t="n">
        <v>86.2</v>
      </c>
      <c r="F104" s="13" t="n">
        <v>0</v>
      </c>
      <c r="G104" s="14">
        <f>E104*(1+F104)</f>
        <v/>
      </c>
      <c r="H104" s="15" t="n">
        <v>95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2" t="n">
        <v>179.6</v>
      </c>
      <c r="F105" s="13" t="n">
        <v>0</v>
      </c>
      <c r="G105" s="14">
        <f>E105*(1+F105)</f>
        <v/>
      </c>
      <c r="H105" s="15" t="n">
        <v>42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2" t="n">
        <v>220.9</v>
      </c>
      <c r="F106" s="13" t="n">
        <v>0</v>
      </c>
      <c r="G106" s="14">
        <f>E106*(1+F106)</f>
        <v/>
      </c>
      <c r="H106" s="15" t="n">
        <v>34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2" t="n">
        <v>12</v>
      </c>
      <c r="F107" s="13" t="n">
        <v>0</v>
      </c>
      <c r="G107" s="14">
        <f>E107*(1+F107)</f>
        <v/>
      </c>
      <c r="H107" s="15" t="n">
        <v>620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2" t="n">
        <v>257</v>
      </c>
      <c r="F108" s="13" t="n">
        <v>0</v>
      </c>
      <c r="G108" s="14">
        <f>E108*(1+F108)</f>
        <v/>
      </c>
      <c r="H108" s="15" t="n">
        <v>26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2" t="n">
        <v>3</v>
      </c>
      <c r="F109" s="13" t="n">
        <v>0</v>
      </c>
      <c r="G109" s="14">
        <f>E109*(1+F109)</f>
        <v/>
      </c>
      <c r="H109" s="15" t="n">
        <v>2100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2" t="n">
        <v>160.8</v>
      </c>
      <c r="F110" s="13" t="n">
        <v>0</v>
      </c>
      <c r="G110" s="14">
        <f>E110*(1+F110)</f>
        <v/>
      </c>
      <c r="H110" s="15" t="n">
        <v>38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2" t="n">
        <v>45</v>
      </c>
      <c r="F111" s="13" t="n">
        <v>0</v>
      </c>
      <c r="G111" s="14">
        <f>E111*(1+F111)</f>
        <v/>
      </c>
      <c r="H111" s="15" t="n">
        <v>128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2" t="n">
        <v>1</v>
      </c>
      <c r="F112" s="13" t="n">
        <v>0</v>
      </c>
      <c r="G112" s="14">
        <f>E112*(1+F112)</f>
        <v/>
      </c>
      <c r="H112" s="15" t="n">
        <v>5400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2" t="n">
        <v>31</v>
      </c>
      <c r="F113" s="13" t="n">
        <v>0</v>
      </c>
      <c r="G113" s="14">
        <f>E113*(1+F113)</f>
        <v/>
      </c>
      <c r="H113" s="15" t="n">
        <v>165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2" t="n">
        <v>13.2</v>
      </c>
      <c r="F114" s="13" t="n">
        <v>0</v>
      </c>
      <c r="G114" s="14">
        <f>E114*(1+F114)</f>
        <v/>
      </c>
      <c r="H114" s="15" t="n">
        <v>380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2" t="n">
        <v>511.1</v>
      </c>
      <c r="F115" s="13" t="n">
        <v>0</v>
      </c>
      <c r="G115" s="14">
        <f>E115*(1+F115)</f>
        <v/>
      </c>
      <c r="H115" s="15" t="n">
        <v>9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780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2" t="n">
        <v>15.6</v>
      </c>
      <c r="F117" s="13" t="n">
        <v>0</v>
      </c>
      <c r="G117" s="14">
        <f>E117*(1+F117)</f>
        <v/>
      </c>
      <c r="H117" s="15" t="n">
        <v>210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2" t="n">
        <v>9</v>
      </c>
      <c r="F118" s="13" t="n">
        <v>0</v>
      </c>
      <c r="G118" s="14">
        <f>E118*(1+F118)</f>
        <v/>
      </c>
      <c r="H118" s="15" t="n">
        <v>340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2" t="n">
        <v>63.6</v>
      </c>
      <c r="F119" s="13" t="n">
        <v>0</v>
      </c>
      <c r="G119" s="14">
        <f>E119*(1+F119)</f>
        <v/>
      </c>
      <c r="H119" s="15" t="n">
        <v>46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2" t="n">
        <v>30.2</v>
      </c>
      <c r="F120" s="13" t="n">
        <v>0</v>
      </c>
      <c r="G120" s="14">
        <f>E120*(1+F120)</f>
        <v/>
      </c>
      <c r="H120" s="15" t="n">
        <v>96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2" t="n">
        <v>1</v>
      </c>
      <c r="F121" s="13" t="n">
        <v>0</v>
      </c>
      <c r="G121" s="14">
        <f>E121*(1+F121)</f>
        <v/>
      </c>
      <c r="H121" s="15" t="n">
        <v>2800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2" t="n">
        <v>6</v>
      </c>
      <c r="F122" s="13" t="n">
        <v>0</v>
      </c>
      <c r="G122" s="14">
        <f>E122*(1+F122)</f>
        <v/>
      </c>
      <c r="H122" s="15" t="n">
        <v>420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2" t="n">
        <v>1</v>
      </c>
      <c r="F123" s="13" t="n">
        <v>0</v>
      </c>
      <c r="G123" s="14">
        <f>E123*(1+F123)</f>
        <v/>
      </c>
      <c r="H123" s="15" t="n">
        <v>2400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2" t="n">
        <v>28</v>
      </c>
      <c r="F124" s="13" t="n">
        <v>0</v>
      </c>
      <c r="G124" s="14">
        <f>E124*(1+F124)</f>
        <v/>
      </c>
      <c r="H124" s="15" t="n">
        <v>85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2" t="n">
        <v>82</v>
      </c>
      <c r="F125" s="13" t="n">
        <v>0</v>
      </c>
      <c r="G125" s="14">
        <f>E125*(1+F125)</f>
        <v/>
      </c>
      <c r="H125" s="15" t="n">
        <v>28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2" t="n">
        <v>8.199999999999999</v>
      </c>
      <c r="F126" s="13" t="n">
        <v>0</v>
      </c>
      <c r="G126" s="14">
        <f>E126*(1+F126)</f>
        <v/>
      </c>
      <c r="H126" s="15" t="n">
        <v>260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2" t="n">
        <v>74.8</v>
      </c>
      <c r="F127" s="13" t="n">
        <v>0</v>
      </c>
      <c r="G127" s="14">
        <f>E127*(1+F127)</f>
        <v/>
      </c>
      <c r="H127" s="15" t="n">
        <v>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2" t="n">
        <v>3</v>
      </c>
      <c r="F128" s="13" t="n">
        <v>0</v>
      </c>
      <c r="G128" s="14">
        <f>E128*(1+F128)</f>
        <v/>
      </c>
      <c r="H128" s="15" t="n">
        <v>690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2" t="n">
        <v>6</v>
      </c>
      <c r="F129" s="13" t="n">
        <v>0</v>
      </c>
      <c r="G129" s="14">
        <f>E129*(1+F129)</f>
        <v/>
      </c>
      <c r="H129" s="15" t="n">
        <v>320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2" t="n">
        <v>7</v>
      </c>
      <c r="F130" s="13" t="n">
        <v>0</v>
      </c>
      <c r="G130" s="14">
        <f>E130*(1+F130)</f>
        <v/>
      </c>
      <c r="H130" s="15" t="n">
        <v>260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2" t="n">
        <v>1</v>
      </c>
      <c r="F131" s="13" t="n">
        <v>0</v>
      </c>
      <c r="G131" s="14">
        <f>E131*(1+F131)</f>
        <v/>
      </c>
      <c r="H131" s="15" t="n">
        <v>1800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2" t="n">
        <v>10</v>
      </c>
      <c r="F132" s="13" t="n">
        <v>0</v>
      </c>
      <c r="G132" s="14">
        <f>E132*(1+F132)</f>
        <v/>
      </c>
      <c r="H132" s="15" t="n">
        <v>175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2" t="n">
        <v>4</v>
      </c>
      <c r="F133" s="13" t="n">
        <v>0</v>
      </c>
      <c r="G133" s="14">
        <f>E133*(1+F133)</f>
        <v/>
      </c>
      <c r="H133" s="15" t="n">
        <v>420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2" t="n">
        <v>14</v>
      </c>
      <c r="F134" s="13" t="n">
        <v>0</v>
      </c>
      <c r="G134" s="14">
        <f>E134*(1+F134)</f>
        <v/>
      </c>
      <c r="H134" s="15" t="n">
        <v>95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2" t="n">
        <v>4</v>
      </c>
      <c r="F135" s="13" t="n">
        <v>0</v>
      </c>
      <c r="G135" s="14">
        <f>E135*(1+F135)</f>
        <v/>
      </c>
      <c r="H135" s="15" t="n">
        <v>320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2" t="n">
        <v>6</v>
      </c>
      <c r="F136" s="13" t="n">
        <v>0</v>
      </c>
      <c r="G136" s="14">
        <f>E136*(1+F136)</f>
        <v/>
      </c>
      <c r="H136" s="15" t="n">
        <v>180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2" t="n">
        <v>5</v>
      </c>
      <c r="F137" s="13" t="n">
        <v>0</v>
      </c>
      <c r="G137" s="14">
        <f>E137*(1+F137)</f>
        <v/>
      </c>
      <c r="H137" s="15" t="n">
        <v>210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2" t="n">
        <v>4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2" t="n">
        <v>6</v>
      </c>
      <c r="F139" s="13" t="n">
        <v>0</v>
      </c>
      <c r="G139" s="14">
        <f>E139*(1+F139)</f>
        <v/>
      </c>
      <c r="H139" s="15" t="n">
        <v>160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2" t="n">
        <v>2</v>
      </c>
      <c r="F142" s="13" t="n">
        <v>0</v>
      </c>
      <c r="G142" s="14">
        <f>E142*(1+F142)</f>
        <v/>
      </c>
      <c r="H142" s="15" t="n">
        <v>420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2" t="n">
        <v>25</v>
      </c>
      <c r="F143" s="13" t="n">
        <v>0</v>
      </c>
      <c r="G143" s="14">
        <f>E143*(1+F143)</f>
        <v/>
      </c>
      <c r="H143" s="15" t="n">
        <v>32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2" t="n">
        <v>5</v>
      </c>
      <c r="F144" s="13" t="n">
        <v>0</v>
      </c>
      <c r="G144" s="14">
        <f>E144*(1+F144)</f>
        <v/>
      </c>
      <c r="H144" s="15" t="n">
        <v>140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2" t="n">
        <v>25</v>
      </c>
      <c r="F145" s="13" t="n">
        <v>0</v>
      </c>
      <c r="G145" s="14">
        <f>E145*(1+F145)</f>
        <v/>
      </c>
      <c r="H145" s="15" t="n">
        <v>28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680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650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2" t="n">
        <v>46.3</v>
      </c>
      <c r="F148" s="13" t="n">
        <v>0</v>
      </c>
      <c r="G148" s="14">
        <f>E148*(1+F148)</f>
        <v/>
      </c>
      <c r="H148" s="15" t="n">
        <v>14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2" t="n">
        <v>2</v>
      </c>
      <c r="F149" s="13" t="n">
        <v>0</v>
      </c>
      <c r="G149" s="14">
        <f>E149*(1+F149)</f>
        <v/>
      </c>
      <c r="H149" s="15" t="n">
        <v>320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160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2" t="n">
        <v>27</v>
      </c>
      <c r="F151" s="13" t="n">
        <v>0</v>
      </c>
      <c r="G151" s="14">
        <f>E151*(1+F151)</f>
        <v/>
      </c>
      <c r="H151" s="15" t="n">
        <v>22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85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2" t="n">
        <v>11</v>
      </c>
      <c r="F153" s="13" t="n">
        <v>0</v>
      </c>
      <c r="G153" s="14">
        <f>E153*(1+F153)</f>
        <v/>
      </c>
      <c r="H153" s="15" t="n">
        <v>45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2" t="n">
        <v>1</v>
      </c>
      <c r="F154" s="13" t="n">
        <v>0</v>
      </c>
      <c r="G154" s="14">
        <f>E154*(1+F154)</f>
        <v/>
      </c>
      <c r="H154" s="15" t="n">
        <v>420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2" t="n">
        <v>11</v>
      </c>
      <c r="F155" s="13" t="n">
        <v>0</v>
      </c>
      <c r="G155" s="14">
        <f>E155*(1+F155)</f>
        <v/>
      </c>
      <c r="H155" s="15" t="n">
        <v>38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2" t="n">
        <v>4</v>
      </c>
      <c r="F156" s="13" t="n">
        <v>0</v>
      </c>
      <c r="G156" s="14">
        <f>E156*(1+F156)</f>
        <v/>
      </c>
      <c r="H156" s="15" t="n">
        <v>95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2" t="n">
        <v>2</v>
      </c>
      <c r="F157" s="13" t="n">
        <v>0</v>
      </c>
      <c r="G157" s="14">
        <f>E157*(1+F157)</f>
        <v/>
      </c>
      <c r="H157" s="15" t="n">
        <v>120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22" t="n"/>
      <c r="B158" s="22" t="n"/>
      <c r="C158" s="23" t="inlineStr">
        <is>
          <t>TOTAL GERAL</t>
        </is>
      </c>
      <c r="D158" s="22" t="n"/>
      <c r="E158" s="22" t="n"/>
      <c r="F158" s="22" t="n"/>
      <c r="G158" s="22" t="n"/>
      <c r="H158" s="22" t="n"/>
      <c r="I158" s="24">
        <f>SUM(I4:I157)</f>
        <v/>
      </c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4">
        <f>SUM(T4:T157)</f>
        <v/>
      </c>
      <c r="U158" s="25">
        <f>IF(T158=0,"",T158/I158-1)</f>
        <v/>
      </c>
      <c r="V158" s="22" t="n"/>
    </row>
    <row r="160">
      <c r="C160" s="2" t="inlineStr">
        <is>
          <t>Itens: 154 · linhas cotáveis com especificação completa: 133 · com lacuna a esclarecer com o fornecedor: 91</t>
        </is>
      </c>
    </row>
    <row r="161">
      <c r="C161" s="2" t="inlineStr">
        <is>
          <t>Passe o mouse sobre a DESCRIÇÃO para ver a especificação completa, as normas e a lacuna de cada item.</t>
        </is>
      </c>
    </row>
  </sheetData>
  <autoFilter ref="A3:V157"/>
  <conditionalFormatting sqref="V4:V157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7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7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SUMIF(COTAÇÃO!$B$4:$B$157,$A5,COTAÇÃO!$I$4:$I$157)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SUMIF(COTAÇÃO!$B$4:$B$157,$A5,COTAÇÃO!$T$4:$T$157)</f>
        <v/>
      </c>
      <c r="G5" s="21">
        <f>IF(OR(F5=0,C5=0),"",F5/C5-1)</f>
        <v/>
      </c>
      <c r="H5" s="18">
        <f>COUNTIFS(COTAÇÃO!$B$4:$B$157,$A5,COTAÇÃO!$O$4:$O$157,"&gt;0")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SUMIF(COTAÇÃO!$B$4:$B$157,$A6,COTAÇÃO!$I$4:$I$157)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SUMIF(COTAÇÃO!$B$4:$B$157,$A6,COTAÇÃO!$T$4:$T$157)</f>
        <v/>
      </c>
      <c r="G6" s="21">
        <f>IF(OR(F6=0,C6=0),"",F6/C6-1)</f>
        <v/>
      </c>
      <c r="H6" s="18">
        <f>COUNTIFS(COTAÇÃO!$B$4:$B$157,$A6,COTAÇÃO!$O$4:$O$157,"&gt;0")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SUMIF(COTAÇÃO!$B$4:$B$157,$A7,COTAÇÃO!$I$4:$I$157)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SUMIF(COTAÇÃO!$B$4:$B$157,$A7,COTAÇÃO!$T$4:$T$157)</f>
        <v/>
      </c>
      <c r="G7" s="21">
        <f>IF(OR(F7=0,C7=0),"",F7/C7-1)</f>
        <v/>
      </c>
      <c r="H7" s="18">
        <f>COUNTIFS(COTAÇÃO!$B$4:$B$157,$A7,COTAÇÃO!$O$4:$O$157,"&gt;0")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SUMIF(COTAÇÃO!$B$4:$B$157,$A8,COTAÇÃO!$I$4:$I$157)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SUMIF(COTAÇÃO!$B$4:$B$157,$A8,COTAÇÃO!$T$4:$T$157)</f>
        <v/>
      </c>
      <c r="G8" s="21">
        <f>IF(OR(F8=0,C8=0),"",F8/C8-1)</f>
        <v/>
      </c>
      <c r="H8" s="18">
        <f>COUNTIFS(COTAÇÃO!$B$4:$B$157,$A8,COTAÇÃO!$O$4:$O$157,"&gt;0")</f>
        <v/>
      </c>
      <c r="I8" s="21">
        <f>IF(B8=0,0,H8/B8)</f>
        <v/>
      </c>
    </row>
    <row r="9">
      <c r="A9" s="9" t="inlineStr">
        <is>
          <t>fundacao</t>
        </is>
      </c>
      <c r="B9" s="18" t="n">
        <v>11</v>
      </c>
      <c r="C9" s="27">
        <f>SUMIF(COTAÇÃO!$B$4:$B$157,$A9,COTAÇÃO!$I$4:$I$157)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SUMIF(COTAÇÃO!$B$4:$B$157,$A9,COTAÇÃO!$T$4:$T$157)</f>
        <v/>
      </c>
      <c r="G9" s="21">
        <f>IF(OR(F9=0,C9=0),"",F9/C9-1)</f>
        <v/>
      </c>
      <c r="H9" s="18">
        <f>COUNTIFS(COTAÇÃO!$B$4:$B$157,$A9,COTAÇÃO!$O$4:$O$157,"&gt;0")</f>
        <v/>
      </c>
      <c r="I9" s="21">
        <f>IF(B9=0,0,H9/B9)</f>
        <v/>
      </c>
    </row>
    <row r="10">
      <c r="A10" s="9" t="inlineStr">
        <is>
          <t>revestimento</t>
        </is>
      </c>
      <c r="B10" s="18" t="n">
        <v>6</v>
      </c>
      <c r="C10" s="27">
        <f>SUMIF(COTAÇÃO!$B$4:$B$157,$A10,COTAÇÃO!$I$4:$I$157)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SUMIF(COTAÇÃO!$B$4:$B$157,$A10,COTAÇÃO!$T$4:$T$157)</f>
        <v/>
      </c>
      <c r="G10" s="21">
        <f>IF(OR(F10=0,C10=0),"",F10/C10-1)</f>
        <v/>
      </c>
      <c r="H10" s="18">
        <f>COUNTIFS(COTAÇÃO!$B$4:$B$157,$A10,COTAÇÃO!$O$4:$O$157,"&gt;0")</f>
        <v/>
      </c>
      <c r="I10" s="21">
        <f>IF(B10=0,0,H10/B10)</f>
        <v/>
      </c>
    </row>
    <row r="11">
      <c r="A11" s="9" t="inlineStr">
        <is>
          <t>externo</t>
        </is>
      </c>
      <c r="B11" s="18" t="n">
        <v>14</v>
      </c>
      <c r="C11" s="27">
        <f>SUMIF(COTAÇÃO!$B$4:$B$157,$A11,COTAÇÃO!$I$4:$I$157)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SUMIF(COTAÇÃO!$B$4:$B$157,$A11,COTAÇÃO!$T$4:$T$157)</f>
        <v/>
      </c>
      <c r="G11" s="21">
        <f>IF(OR(F11=0,C11=0),"",F11/C11-1)</f>
        <v/>
      </c>
      <c r="H11" s="18">
        <f>COUNTIFS(COTAÇÃO!$B$4:$B$157,$A11,COTAÇÃO!$O$4:$O$157,"&gt;0")</f>
        <v/>
      </c>
      <c r="I11" s="21">
        <f>IF(B11=0,0,H11/B11)</f>
        <v/>
      </c>
    </row>
    <row r="12">
      <c r="A12" s="9" t="inlineStr">
        <is>
          <t>estrutura</t>
        </is>
      </c>
      <c r="B12" s="18" t="n">
        <v>1</v>
      </c>
      <c r="C12" s="27">
        <f>SUMIF(COTAÇÃO!$B$4:$B$157,$A12,COTAÇÃO!$I$4:$I$157)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SUMIF(COTAÇÃO!$B$4:$B$157,$A12,COTAÇÃO!$T$4:$T$157)</f>
        <v/>
      </c>
      <c r="G12" s="21">
        <f>IF(OR(F12=0,C12=0),"",F12/C12-1)</f>
        <v/>
      </c>
      <c r="H12" s="18">
        <f>COUNTIFS(COTAÇÃO!$B$4:$B$157,$A12,COTAÇÃO!$O$4:$O$157,"&gt;0")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SUMIF(COTAÇÃO!$B$4:$B$157,$A13,COTAÇÃO!$I$4:$I$157)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SUMIF(COTAÇÃO!$B$4:$B$157,$A13,COTAÇÃO!$T$4:$T$157)</f>
        <v/>
      </c>
      <c r="G13" s="21">
        <f>IF(OR(F13=0,C13=0),"",F13/C13-1)</f>
        <v/>
      </c>
      <c r="H13" s="18">
        <f>COUNTIFS(COTAÇÃO!$B$4:$B$157,$A13,COTAÇÃO!$O$4:$O$157,"&gt;0")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SUMIF(COTAÇÃO!$B$4:$B$157,$A14,COTAÇÃO!$I$4:$I$157)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SUMIF(COTAÇÃO!$B$4:$B$157,$A14,COTAÇÃO!$T$4:$T$157)</f>
        <v/>
      </c>
      <c r="G14" s="21">
        <f>IF(OR(F14=0,C14=0),"",F14/C14-1)</f>
        <v/>
      </c>
      <c r="H14" s="18">
        <f>COUNTIFS(COTAÇÃO!$B$4:$B$157,$A14,COTAÇÃO!$O$4:$O$157,"&gt;0")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SUMIF(COTAÇÃO!$B$4:$B$157,$A15,COTAÇÃO!$I$4:$I$157)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SUMIF(COTAÇÃO!$B$4:$B$157,$A15,COTAÇÃO!$T$4:$T$157)</f>
        <v/>
      </c>
      <c r="G15" s="21">
        <f>IF(OR(F15=0,C15=0),"",F15/C15-1)</f>
        <v/>
      </c>
      <c r="H15" s="18">
        <f>COUNTIFS(COTAÇÃO!$B$4:$B$157,$A15,COTAÇÃO!$O$4:$O$157,"&gt;0")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SUMIF(COTAÇÃO!$B$4:$B$157,$A16,COTAÇÃO!$I$4:$I$157)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SUMIF(COTAÇÃO!$B$4:$B$157,$A16,COTAÇÃO!$T$4:$T$157)</f>
        <v/>
      </c>
      <c r="G16" s="21">
        <f>IF(OR(F16=0,C16=0),"",F16/C16-1)</f>
        <v/>
      </c>
      <c r="H16" s="18">
        <f>COUNTIFS(COTAÇÃO!$B$4:$B$157,$A16,COTAÇÃO!$O$4:$O$157,"&gt;0")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SUMIF(COTAÇÃO!$B$4:$B$157,$A17,COTAÇÃO!$I$4:$I$157)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SUMIF(COTAÇÃO!$B$4:$B$157,$A17,COTAÇÃO!$T$4:$T$157)</f>
        <v/>
      </c>
      <c r="G17" s="21">
        <f>IF(OR(F17=0,C17=0),"",F17/C17-1)</f>
        <v/>
      </c>
      <c r="H17" s="18">
        <f>COUNTIFS(COTAÇÃO!$B$4:$B$157,$A17,COTAÇÃO!$O$4:$O$157,"&gt;0")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SUMIF(COTAÇÃO!$B$4:$B$157,$A18,COTAÇÃO!$I$4:$I$157)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SUMIF(COTAÇÃO!$B$4:$B$157,$A18,COTAÇÃO!$T$4:$T$157)</f>
        <v/>
      </c>
      <c r="G18" s="21">
        <f>IF(OR(F18=0,C18=0),"",F18/C18-1)</f>
        <v/>
      </c>
      <c r="H18" s="18">
        <f>COUNTIFS(COTAÇÃO!$B$4:$B$157,$A18,COTAÇÃO!$O$4:$O$157,"&gt;0")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SUMIF(COTAÇÃO!$B$4:$B$157,$A19,COTAÇÃO!$I$4:$I$157)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SUMIF(COTAÇÃO!$B$4:$B$157,$A19,COTAÇÃO!$T$4:$T$157)</f>
        <v/>
      </c>
      <c r="G19" s="21">
        <f>IF(OR(F19=0,C19=0),"",F19/C19-1)</f>
        <v/>
      </c>
      <c r="H19" s="18">
        <f>COUNTIFS(COTAÇÃO!$B$4:$B$157,$A19,COTAÇÃO!$O$4:$O$157,"&gt;0")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SUMIF(COTAÇÃO!$B$4:$B$157,$A20,COTAÇÃO!$I$4:$I$157)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SUMIF(COTAÇÃO!$B$4:$B$157,$A20,COTAÇÃO!$T$4:$T$157)</f>
        <v/>
      </c>
      <c r="G20" s="21">
        <f>IF(OR(F20=0,C20=0),"",F20/C20-1)</f>
        <v/>
      </c>
      <c r="H20" s="18">
        <f>COUNTIFS(COTAÇÃO!$B$4:$B$157,$A20,COTAÇÃO!$O$4:$O$157,"&gt;0")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4" t="n">
        <v>355.6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4" t="n">
        <v>29</v>
      </c>
      <c r="F94" s="11" t="inlineStr">
        <is>
          <t>sistema fotovoltaico conectado a rede (on-grid), microgeracao REN ANEEL 1.000/2021; modulos monocristalinos, inversor string trifasico com monitoramento</t>
        </is>
      </c>
      <c r="G94" s="11" t="inlineStr">
        <is>
          <t>NBR 16274, NBR 16690, Portaria INMETRO 140/2022</t>
        </is>
      </c>
      <c r="H94" s="11" t="inlineStr">
        <is>
          <t>marca e modelo de modulo e inversor; a potencia e a area estao dimensionadas, o produto e cotacao</t>
        </is>
      </c>
      <c r="I94" s="18" t="inlineStr">
        <is>
          <t>sim</t>
        </is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4" t="n">
        <v>12</v>
      </c>
      <c r="F95" s="11" t="inlineStr">
        <is>
          <t>marcenaria sob medida conforme planta de layout; MDF 18 mm com acabamento em laminado ou pintura PU; ferragem com amortecedor</t>
        </is>
      </c>
      <c r="G95" s="11" t="inlineStr"/>
      <c r="H95" s="11" t="inlineStr">
        <is>
          <t>desenho executivo de marcenaria: a planta da a extensao e a profundidade, nao o interior do movel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4" t="n">
        <v>155.5</v>
      </c>
      <c r="F97" s="11" t="inlineStr">
        <is>
          <t>revestimento ceramico conforme quadro de acabamentos por ambiente; area ja com 10 % de perda de corte e quebra</t>
        </is>
      </c>
      <c r="G97" s="11" t="inlineStr">
        <is>
          <t>NBR 13818, NBR 15463</t>
        </is>
      </c>
      <c r="H97" s="11" t="inlineStr">
        <is>
          <t>linha, formato e PEI: o modelo define o TIPO por ambiente, a linha e escolha de acabamento</t>
        </is>
      </c>
      <c r="I97" s="18" t="inlineStr">
        <is>
          <t>sim</t>
        </is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4" t="n">
        <v>4</v>
      </c>
      <c r="F98" s="11" t="inlineStr">
        <is>
          <t>equipamento novo, com garantia de fabrica e instalacao por credenciado; inverter, ciclo frio, R-32 ou R-410A, classe A</t>
        </is>
      </c>
      <c r="G98" s="11" t="inlineStr">
        <is>
          <t>NBR 16401, Portaria INMETRO de eficiencia</t>
        </is>
      </c>
      <c r="H98" s="11" t="inlineStr">
        <is>
          <t>marca e modelo: a capacidade esta dimensionada, a escolha do equipamento e do proprietario</t>
        </is>
      </c>
      <c r="I98" s="18" t="inlineStr">
        <is>
          <t>sim</t>
        </is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4" t="n">
        <v>16.1</v>
      </c>
      <c r="F99" s="11" t="inlineStr">
        <is>
          <t>louca / metal sanitario de linha comercial, cor branca para louca e acabamento cromado para metal; quantidade contada das pecas LOCADAS em planta, nao estimada por comodo</t>
        </is>
      </c>
      <c r="G99" s="11" t="inlineStr">
        <is>
          <t>NBR 15097, NBR 15705</t>
        </is>
      </c>
      <c r="H99" s="11" t="inlineStr">
        <is>
          <t>linha e fabricante: louca e metal sao decisao de acabamento do proprietario, e a mesma peca varia 3x de preco entre linhas</t>
        </is>
      </c>
      <c r="I99" s="18" t="inlineStr">
        <is>
          <t>sim</t>
        </is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4" t="n">
        <v>9.42</v>
      </c>
      <c r="F100" s="11" t="inlineStr">
        <is>
          <t>marcenaria sob medida conforme planta de layout; MDF 18 mm com acabamento em laminado ou pintura PU; ferragem com amortecedor</t>
        </is>
      </c>
      <c r="G100" s="11" t="inlineStr"/>
      <c r="H100" s="11" t="inlineStr">
        <is>
          <t>desenho executivo de marcenaria: a planta da a extensao e a profundidade, nao o interior do movel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4" t="n">
        <v>7.17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4" t="n">
        <v>86.2</v>
      </c>
      <c r="F104" s="11" t="inlineStr">
        <is>
          <t>sistema fotovoltaico conectado a rede (on-grid), microgeracao REN ANEEL 1.000/2021; modulos monocristalinos, inversor string trifasico com monitoramento</t>
        </is>
      </c>
      <c r="G104" s="11" t="inlineStr">
        <is>
          <t>NBR 16274, NBR 16690, Portaria INMETRO 140/2022</t>
        </is>
      </c>
      <c r="H104" s="11" t="inlineStr">
        <is>
          <t>marca e modelo de modulo e inversor; a potencia e a area estao dimensionadas, o produto e cotacao</t>
        </is>
      </c>
      <c r="I104" s="18" t="inlineStr">
        <is>
          <t>sim</t>
        </is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4" t="n">
        <v>179.6</v>
      </c>
      <c r="F105" s="11" t="inlineStr">
        <is>
          <t>tinta e mao de obra conforme especificacao de acabamento; 2 demaos sobre selador; rendimento declarado na quantidade</t>
        </is>
      </c>
      <c r="G105" s="11" t="inlineStr">
        <is>
          <t>NBR 11702, NBR 13245</t>
        </is>
      </c>
      <c r="H105" s="11" t="inlineStr"/>
      <c r="I105" s="18" t="inlineStr">
        <is>
          <t>sim</t>
        </is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4" t="n">
        <v>220.9</v>
      </c>
      <c r="F106" s="11" t="inlineStr">
        <is>
          <t>revestimento ceramico conforme quadro de acabamentos por ambiente; area ja com 10 % de perda de corte e quebra</t>
        </is>
      </c>
      <c r="G106" s="11" t="inlineStr">
        <is>
          <t>NBR 13818, NBR 15463</t>
        </is>
      </c>
      <c r="H106" s="11" t="inlineStr">
        <is>
          <t>linha, formato e PEI: o modelo define o TIPO por ambiente, a linha e escolha de acabamento</t>
        </is>
      </c>
      <c r="I106" s="18" t="inlineStr">
        <is>
          <t>sim</t>
        </is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4" t="n">
        <v>12</v>
      </c>
      <c r="F107" s="11" t="inlineStr">
        <is>
          <t>sistema fotovoltaico conectado a rede (on-grid), microgeracao REN ANEEL 1.000/2021; modulos monocristalinos, inversor string trifasico com monitoramento</t>
        </is>
      </c>
      <c r="G107" s="11" t="inlineStr">
        <is>
          <t>NBR 16274, NBR 16690, Portaria INMETRO 140/2022</t>
        </is>
      </c>
      <c r="H107" s="11" t="inlineStr">
        <is>
          <t>marca e modelo de modulo e inversor; a potencia e a area estao dimensionadas, o produto e cotacao</t>
        </is>
      </c>
      <c r="I107" s="18" t="inlineStr">
        <is>
          <t>sim</t>
        </is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4" t="n">
        <v>257</v>
      </c>
      <c r="F108" s="11" t="inlineStr">
        <is>
          <t>tinta e mao de obra conforme especificacao de acabamento; 2 demaos sobre selador; rendimento declarado na quantidade</t>
        </is>
      </c>
      <c r="G108" s="11" t="inlineStr">
        <is>
          <t>NBR 11702, NBR 13245</t>
        </is>
      </c>
      <c r="H108" s="11" t="inlineStr"/>
      <c r="I108" s="18" t="inlineStr">
        <is>
          <t>sim</t>
        </is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4" t="n">
        <v>3</v>
      </c>
      <c r="F109" s="11" t="inlineStr">
        <is>
          <t>equipamento novo, com garantia de fabrica e instalacao por credenciado; inverter, ciclo frio, R-32 ou R-410A, classe A</t>
        </is>
      </c>
      <c r="G109" s="11" t="inlineStr">
        <is>
          <t>NBR 16401, Portaria INMETRO de eficiencia</t>
        </is>
      </c>
      <c r="H109" s="11" t="inlineStr">
        <is>
          <t>marca e modelo: a capacidade esta dimensionada, a escolha do equipamento e do proprietario</t>
        </is>
      </c>
      <c r="I109" s="18" t="inlineStr">
        <is>
          <t>sim</t>
        </is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4" t="n">
        <v>160.8</v>
      </c>
      <c r="F110" s="11" t="inlineStr">
        <is>
          <t>SPDA conforme NBR 5419-3, classe IV: captor em anel no perimetro da cobertura, descidas naturais pela estrutura de aco com continuidade ensaiada, anel de aterramento no radier</t>
        </is>
      </c>
      <c r="G110" s="11" t="inlineStr">
        <is>
          <t>NBR 5410, NBR 5419-3, NBR 5419-4</t>
        </is>
      </c>
      <c r="H110" s="11" t="inlineStr">
        <is>
          <t>laudo de continuidade eletrica da estrutura e medicao de resistencia de aterramento apos a execucao</t>
        </is>
      </c>
      <c r="I110" s="18" t="inlineStr">
        <is>
          <t>sim</t>
        </is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4" t="n">
        <v>45</v>
      </c>
      <c r="F11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1" s="11" t="inlineStr">
        <is>
          <t>NBR ISO/CIE 8995-1, Portaria INMETRO 20/2017 (LED)</t>
        </is>
      </c>
      <c r="H111" s="11" t="inlineStr">
        <is>
          <t>marca e modelo: o fluxo e a potencia de cada tipo estao declarados; o produto e escolha de acabamento</t>
        </is>
      </c>
      <c r="I111" s="18" t="inlineStr">
        <is>
          <t>sim</t>
        </is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4" t="n">
        <v>1</v>
      </c>
      <c r="F112" s="11" t="inlineStr">
        <is>
          <t>equipamento novo, com garantia de fabrica e instalacao por credenciado; inverter, ciclo frio, R-32 ou R-410A, classe A</t>
        </is>
      </c>
      <c r="G112" s="11" t="inlineStr">
        <is>
          <t>NBR 16401, Portaria INMETRO de eficiencia</t>
        </is>
      </c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4" t="n">
        <v>31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4" t="n">
        <v>13.2</v>
      </c>
      <c r="F114" s="11" t="inlineStr">
        <is>
          <t>marcenaria sob medida conforme planta de layout; MDF 18 mm com acabamento em laminado ou pintura PU; ferragem com amortecedor</t>
        </is>
      </c>
      <c r="G114" s="11" t="inlineStr"/>
      <c r="H114" s="11" t="inlineStr">
        <is>
          <t>desenho executivo de marcenaria: a planta da a extensao e a profundidade, nao o interior do movel</t>
        </is>
      </c>
      <c r="I114" s="18" t="inlineStr">
        <is>
          <t>sim</t>
        </is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4" t="n">
        <v>511.1</v>
      </c>
      <c r="F115" s="11" t="inlineStr">
        <is>
          <t>revestimento ceramico conforme quadro de acabamentos por ambiente; area ja com 10 % de perda de corte e quebra</t>
        </is>
      </c>
      <c r="G115" s="11" t="inlineStr">
        <is>
          <t>NBR 13818, NBR 15463</t>
        </is>
      </c>
      <c r="H115" s="11" t="inlineStr">
        <is>
          <t>linha, formato e PEI: o modelo define o TIPO por ambiente, a linha e escolha de acabamento</t>
        </is>
      </c>
      <c r="I115" s="18" t="inlineStr">
        <is>
          <t>sim</t>
        </is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4" t="n">
        <v>15.6</v>
      </c>
      <c r="F11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7" s="11" t="inlineStr">
        <is>
          <t>NBR ISO/CIE 8995-1, Portaria INMETRO 20/2017 (LED)</t>
        </is>
      </c>
      <c r="H117" s="11" t="inlineStr">
        <is>
          <t>marca e modelo: o fluxo e a potencia de cada tipo estao declarados; o produto e escolha de acabamento</t>
        </is>
      </c>
      <c r="I117" s="18" t="inlineStr">
        <is>
          <t>sim</t>
        </is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4" t="n">
        <v>9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4" t="n">
        <v>63.6</v>
      </c>
      <c r="F119" s="11" t="inlineStr">
        <is>
          <t>SPDA conforme NBR 5419-3, classe IV: captor em anel no perimetro da cobertura, descidas naturais pela estrutura de aco com continuidade ensaiada, anel de aterramento no radier</t>
        </is>
      </c>
      <c r="G119" s="11" t="inlineStr">
        <is>
          <t>NBR 5410, NBR 5419-3, NBR 5419-4</t>
        </is>
      </c>
      <c r="H119" s="11" t="inlineStr">
        <is>
          <t>laudo de continuidade eletrica da estrutura e medicao de resistencia de aterramento apos a execucao</t>
        </is>
      </c>
      <c r="I119" s="18" t="inlineStr">
        <is>
          <t>sim</t>
        </is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4" t="n">
        <v>30.2</v>
      </c>
      <c r="F120" s="11" t="inlineStr">
        <is>
          <t>revestimento ceramico conforme quadro de acabamentos por ambiente; area ja com 10 % de perda de corte e quebra</t>
        </is>
      </c>
      <c r="G120" s="11" t="inlineStr">
        <is>
          <t>NBR 13818, NBR 15463</t>
        </is>
      </c>
      <c r="H120" s="11" t="inlineStr">
        <is>
          <t>linha, formato e PEI: o modelo define o TIPO por ambiente, a linha e escolha de acabamento</t>
        </is>
      </c>
      <c r="I120" s="18" t="inlineStr">
        <is>
          <t>sim</t>
        </is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4" t="n">
        <v>1</v>
      </c>
      <c r="F121" s="11" t="inlineStr">
        <is>
          <t>equipamento novo, com garantia de fabrica e instalacao por credenciado</t>
        </is>
      </c>
      <c r="G121" s="11" t="inlineStr"/>
      <c r="H121" s="11" t="inlineStr">
        <is>
          <t>marca e modelo: a capacidade esta dimensionada, a escolha do equipamento e do proprietario</t>
        </is>
      </c>
      <c r="I121" s="18" t="inlineStr">
        <is>
          <t>sim</t>
        </is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4" t="n">
        <v>6</v>
      </c>
      <c r="F122" s="11" t="inlineStr">
        <is>
          <t>louca / metal sanitario de linha comercial, cor branca para louca e acabamento cromado para metal; quantidade contada das pecas LOCADAS em planta, nao estimada por comodo</t>
        </is>
      </c>
      <c r="G122" s="11" t="inlineStr">
        <is>
          <t>NBR 15097, NBR 15705</t>
        </is>
      </c>
      <c r="H122" s="11" t="inlineStr">
        <is>
          <t>linha e fabricante: louca e metal sao decisao de acabamento do proprietario, e a mesma peca varia 3x de preco entre linhas</t>
        </is>
      </c>
      <c r="I122" s="18" t="inlineStr">
        <is>
          <t>sim</t>
        </is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4" t="n">
        <v>1</v>
      </c>
      <c r="F123" s="11" t="inlineStr">
        <is>
          <t>equipamento novo, com garantia de fabrica e instalacao por credenciado</t>
        </is>
      </c>
      <c r="G123" s="11" t="inlineStr"/>
      <c r="H123" s="11" t="inlineStr">
        <is>
          <t>marca e modelo: a capacidade esta dimensionada, a escolha do equipamento e do proprietario</t>
        </is>
      </c>
      <c r="I123" s="18" t="inlineStr">
        <is>
          <t>sim</t>
        </is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4" t="n">
        <v>28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4" t="n">
        <v>82</v>
      </c>
      <c r="F125" s="11" t="inlineStr">
        <is>
          <t>dispositivo de embutir em caixa 4x2 / 4x4, linha unica em toda a casa; tensao 127 V para TUG e 220 V para TUE, conforme esquema declarado no projeto</t>
        </is>
      </c>
      <c r="G125" s="11" t="inlineStr">
        <is>
          <t>NBR 14136, NBR 5410</t>
        </is>
      </c>
      <c r="H125" s="11" t="inlineStr"/>
      <c r="I125" s="18" t="inlineStr">
        <is>
          <t>sim</t>
        </is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4" t="n">
        <v>8.199999999999999</v>
      </c>
      <c r="F126" s="11" t="inlineStr">
        <is>
          <t>marcenaria sob medida conforme planta de layout; MDF 18 mm com acabamento em laminado ou pintura PU; ferragem com amortecedor</t>
        </is>
      </c>
      <c r="G126" s="11" t="inlineStr"/>
      <c r="H126" s="11" t="inlineStr">
        <is>
          <t>desenho executivo de marcenaria: a planta da a extensao e a profundidade, nao o interior do movel</t>
        </is>
      </c>
      <c r="I126" s="18" t="inlineStr">
        <is>
          <t>sim</t>
        </is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4" t="n">
        <v>74.8</v>
      </c>
      <c r="F127" s="11" t="inlineStr">
        <is>
          <t>tinta e mao de obra conforme especificacao de acabamento; 2 demaos sobre selador; rendimento declarado na quantidade</t>
        </is>
      </c>
      <c r="G127" s="11" t="inlineStr">
        <is>
          <t>NBR 11702, NBR 13245</t>
        </is>
      </c>
      <c r="H127" s="11" t="inlineStr"/>
      <c r="I127" s="18" t="inlineStr">
        <is>
          <t>sim</t>
        </is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4" t="n">
        <v>3</v>
      </c>
      <c r="F128" s="11" t="inlineStr">
        <is>
          <t>louca / metal sanitario de linha comercial, cor branca para louca e acabamento cromado para metal; quantidade contada das pecas LOCADAS em planta, nao estimada por comodo</t>
        </is>
      </c>
      <c r="G128" s="11" t="inlineStr">
        <is>
          <t>NBR 15097, NBR 15705</t>
        </is>
      </c>
      <c r="H128" s="11" t="inlineStr">
        <is>
          <t>linha e fabricante: louca e metal sao decisao de acabamento do proprietario, e a mesma peca varia 3x de preco entre linhas</t>
        </is>
      </c>
      <c r="I128" s="18" t="inlineStr">
        <is>
          <t>sim</t>
        </is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4" t="n">
        <v>6</v>
      </c>
      <c r="F129" s="11" t="inlineStr">
        <is>
          <t>marcenaria sob medida conforme planta de layout; MDF 18 mm com acabamento em laminado ou pintura PU; ferragem com amortecedor</t>
        </is>
      </c>
      <c r="G129" s="11" t="inlineStr"/>
      <c r="H129" s="11" t="inlineStr">
        <is>
          <t>desenho executivo de marcenaria: a planta da a extensao e a profundidade, nao o interior do movel</t>
        </is>
      </c>
      <c r="I129" s="18" t="inlineStr">
        <is>
          <t>sim</t>
        </is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4" t="n">
        <v>7</v>
      </c>
      <c r="F130" s="11" t="inlineStr">
        <is>
          <t>equipamento novo, com garantia de fabrica e instalacao por credenciado</t>
        </is>
      </c>
      <c r="G130" s="11" t="inlineStr"/>
      <c r="H130" s="11" t="inlineStr">
        <is>
          <t>marca e modelo: a capacidade esta dimensionada, a escolha do equipamento e do proprietario</t>
        </is>
      </c>
      <c r="I130" s="18" t="inlineStr">
        <is>
          <t>sim</t>
        </is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4" t="n">
        <v>1</v>
      </c>
      <c r="F131" s="11" t="inlineStr">
        <is>
          <t>sistema fotovoltaico conectado a rede (on-grid), microgeracao REN ANEEL 1.000/2021; modulos monocristalinos, inversor string trifasico com monitoramento</t>
        </is>
      </c>
      <c r="G131" s="11" t="inlineStr">
        <is>
          <t>NBR 16274, NBR 16690, Portaria INMETRO 140/2022</t>
        </is>
      </c>
      <c r="H131" s="11" t="inlineStr">
        <is>
          <t>marca e modelo de modulo e inversor; a potencia e a area estao dimensionadas, o produto e cotacao</t>
        </is>
      </c>
      <c r="I131" s="18" t="inlineStr">
        <is>
          <t>sim</t>
        </is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4" t="n">
        <v>10</v>
      </c>
      <c r="F13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2" s="11" t="inlineStr">
        <is>
          <t>NBR ISO/CIE 8995-1, Portaria INMETRO 20/2017 (LED)</t>
        </is>
      </c>
      <c r="H132" s="11" t="inlineStr">
        <is>
          <t>marca e modelo: o fluxo e a potencia de cada tipo estao declarados; o produto e escolha de acabamento</t>
        </is>
      </c>
      <c r="I132" s="18" t="inlineStr">
        <is>
          <t>sim</t>
        </is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4" t="n">
        <v>4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4" t="n">
        <v>14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4" t="n">
        <v>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4" t="n">
        <v>6</v>
      </c>
      <c r="F136" s="11" t="inlineStr">
        <is>
          <t>dispositivo de embutir em caixa 4x2 / 4x4, linha unica em toda a casa; tensao 127 V para TUG e 220 V para TUE, conforme esquema declarado no projeto</t>
        </is>
      </c>
      <c r="G136" s="11" t="inlineStr">
        <is>
          <t>NBR 14136, NBR 5410</t>
        </is>
      </c>
      <c r="H136" s="11" t="inlineStr"/>
      <c r="I136" s="18" t="inlineStr">
        <is>
          <t>sim</t>
        </is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4" t="n">
        <v>5</v>
      </c>
      <c r="F137" s="11" t="inlineStr">
        <is>
          <t>louca / metal sanitario de linha comercial, cor branca para louca e acabamento cromado para metal; quantidade contada das pecas LOCADAS em planta, nao estimada por comodo</t>
        </is>
      </c>
      <c r="G137" s="11" t="inlineStr">
        <is>
          <t>NBR 15097, NBR 15705</t>
        </is>
      </c>
      <c r="H137" s="11" t="inlineStr">
        <is>
          <t>linha e fabricante: louca e metal sao decisao de acabamento do proprietario, e a mesma peca varia 3x de preco entre linhas</t>
        </is>
      </c>
      <c r="I137" s="18" t="inlineStr">
        <is>
          <t>sim</t>
        </is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4" t="n">
        <v>4</v>
      </c>
      <c r="F138" s="11" t="inlineStr">
        <is>
          <t>SPDA conforme NBR 5419-3, classe IV: captor em anel no perimetro da cobertura, descidas naturais pela estrutura de aco com continuidade ensaiada, anel de aterramento no radier</t>
        </is>
      </c>
      <c r="G138" s="11" t="inlineStr">
        <is>
          <t>NBR 5410, NBR 5419-3, NBR 5419-4</t>
        </is>
      </c>
      <c r="H138" s="11" t="inlineStr">
        <is>
          <t>laudo de continuidade eletrica da estrutura e medicao de resistencia de aterramento apos a execucao</t>
        </is>
      </c>
      <c r="I138" s="18" t="inlineStr">
        <is>
          <t>sim</t>
        </is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4" t="n">
        <v>6</v>
      </c>
      <c r="F13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9" s="11" t="inlineStr">
        <is>
          <t>NBR ISO/CIE 8995-1, Portaria INMETRO 20/2017 (LED)</t>
        </is>
      </c>
      <c r="H139" s="11" t="inlineStr">
        <is>
          <t>marca e modelo: o fluxo e a potencia de cada tipo estao declarados; o produto e escolha de acabamento</t>
        </is>
      </c>
      <c r="I139" s="18" t="inlineStr">
        <is>
          <t>sim</t>
        </is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4" t="n">
        <v>1</v>
      </c>
      <c r="F140" s="11" t="inlineStr">
        <is>
          <t>SPDA conforme NBR 5419-3, classe IV: captor em anel no perimetro da cobertura, descidas naturais pela estrutura de aco com continuidade ensaiada, anel de aterramento no radier</t>
        </is>
      </c>
      <c r="G140" s="11" t="inlineStr">
        <is>
          <t>NBR 5410, NBR 5419-3, NBR 5419-4</t>
        </is>
      </c>
      <c r="H140" s="11" t="inlineStr">
        <is>
          <t>laudo de continuidade eletrica da estrutura e medicao de resistencia de aterramento apos a execucao</t>
        </is>
      </c>
      <c r="I140" s="18" t="inlineStr">
        <is>
          <t>sim</t>
        </is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4" t="n">
        <v>1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4" t="n">
        <v>2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4" t="n">
        <v>25</v>
      </c>
      <c r="F143" s="11" t="inlineStr">
        <is>
          <t>dispositivo de embutir em caixa 4x2 / 4x4, linha unica em toda a casa; tensao 127 V para TUG e 220 V para TUE, conforme esquema declarado no projeto</t>
        </is>
      </c>
      <c r="G143" s="11" t="inlineStr">
        <is>
          <t>NBR 14136, NBR 5410</t>
        </is>
      </c>
      <c r="H143" s="11" t="inlineStr"/>
      <c r="I143" s="18" t="inlineStr">
        <is>
          <t>sim</t>
        </is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4" t="n">
        <v>5</v>
      </c>
      <c r="F144" s="11" t="inlineStr">
        <is>
          <t>louca / metal sanitario de linha comercial, cor branca para louca e acabamento cromado para metal; quantidade contada das pecas LOCADAS em planta, nao estimada por comodo</t>
        </is>
      </c>
      <c r="G144" s="11" t="inlineStr">
        <is>
          <t>NBR 15097, NBR 15705</t>
        </is>
      </c>
      <c r="H144" s="11" t="inlineStr">
        <is>
          <t>linha e fabricante: louca e metal sao decisao de acabamento do proprietario, e a mesma peca varia 3x de preco entre linhas</t>
        </is>
      </c>
      <c r="I144" s="18" t="inlineStr">
        <is>
          <t>sim</t>
        </is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4" t="n">
        <v>25</v>
      </c>
      <c r="F145" s="11" t="inlineStr">
        <is>
          <t>dispositivo de embutir em caixa 4x2 / 4x4, linha unica em toda a casa; tensao 127 V para TUG e 220 V para TUE, conforme esquema declarado no projeto</t>
        </is>
      </c>
      <c r="G145" s="11" t="inlineStr">
        <is>
          <t>NBR 14136, NBR 5410</t>
        </is>
      </c>
      <c r="H145" s="11" t="inlineStr"/>
      <c r="I145" s="18" t="inlineStr">
        <is>
          <t>sim</t>
        </is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4" t="n">
        <v>1</v>
      </c>
      <c r="F146" s="11" t="inlineStr">
        <is>
          <t>sistema fotovoltaico conectado a rede (on-grid), microgeracao REN ANEEL 1.000/2021; modulos monocristalinos, inversor string trifasico com monitoramento</t>
        </is>
      </c>
      <c r="G146" s="11" t="inlineStr">
        <is>
          <t>NBR 16274, NBR 16690, Portaria INMETRO 140/2022</t>
        </is>
      </c>
      <c r="H146" s="11" t="inlineStr">
        <is>
          <t>marca e modelo de modulo e inversor; a potencia e a area estao dimensionadas, o produto e cotacao</t>
        </is>
      </c>
      <c r="I146" s="18" t="inlineStr">
        <is>
          <t>sim</t>
        </is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4" t="n">
        <v>1</v>
      </c>
      <c r="F147" s="11" t="inlineStr">
        <is>
          <t>SPDA conforme NBR 5419-3, classe IV: captor em anel no perimetro da cobertura, descidas naturais pela estrutura de aco com continuidade ensaiada, anel de aterramento no radier</t>
        </is>
      </c>
      <c r="G147" s="11" t="inlineStr">
        <is>
          <t>NBR 5410, NBR 5419-3, NBR 5419-4</t>
        </is>
      </c>
      <c r="H147" s="11" t="inlineStr">
        <is>
          <t>laudo de continuidade eletrica da estrutura e medicao de resistencia de aterramento apos a execucao</t>
        </is>
      </c>
      <c r="I147" s="18" t="inlineStr">
        <is>
          <t>sim</t>
        </is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4" t="n">
        <v>46.3</v>
      </c>
      <c r="F148" s="11" t="inlineStr">
        <is>
          <t>sistema fotovoltaico conectado a rede (on-grid), microgeracao REN ANEEL 1.000/2021; modulos monocristalinos, inversor string trifasico com monitoramento</t>
        </is>
      </c>
      <c r="G148" s="11" t="inlineStr">
        <is>
          <t>NBR 16274, NBR 16690, Portaria INMETRO 140/2022</t>
        </is>
      </c>
      <c r="H148" s="11" t="inlineStr">
        <is>
          <t>marca e modelo de modulo e inversor; a potencia e a area estao dimensionadas, o produto e cotacao</t>
        </is>
      </c>
      <c r="I148" s="18" t="inlineStr">
        <is>
          <t>sim</t>
        </is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4" t="n">
        <v>2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4" t="n">
        <v>4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4" t="n">
        <v>27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4" t="n">
        <v>6</v>
      </c>
      <c r="F15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2" s="11" t="inlineStr">
        <is>
          <t>NBR ISO/CIE 8995-1, Portaria INMETRO 20/2017 (LED)</t>
        </is>
      </c>
      <c r="H152" s="11" t="inlineStr">
        <is>
          <t>marca e modelo: o fluxo e a potencia de cada tipo estao declarados; o produto e escolha de acabamento</t>
        </is>
      </c>
      <c r="I152" s="18" t="inlineStr">
        <is>
          <t>sim</t>
        </is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4" t="n">
        <v>11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4" t="n">
        <v>1</v>
      </c>
      <c r="F154" s="11" t="inlineStr">
        <is>
          <t>SPDA conforme NBR 5419-3, classe IV: captor em anel no perimetro da cobertura, descidas naturais pela estrutura de aco com continuidade ensaiada, anel de aterramento no radier</t>
        </is>
      </c>
      <c r="G154" s="11" t="inlineStr">
        <is>
          <t>NBR 5410, NBR 5419-3, NBR 5419-4</t>
        </is>
      </c>
      <c r="H154" s="11" t="inlineStr">
        <is>
          <t>laudo de continuidade eletrica da estrutura e medicao de resistencia de aterramento apos a execucao</t>
        </is>
      </c>
      <c r="I154" s="18" t="inlineStr">
        <is>
          <t>sim</t>
        </is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4" t="n">
        <v>11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4" t="n">
        <v>4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4" t="n">
        <v>2</v>
      </c>
      <c r="F157" s="11" t="inlineStr">
        <is>
          <t>dispositivo de embutir em caixa 4x2 / 4x4, linha unica em toda a casa; tensao 127 V para TUG e 220 V para TUE, conforme esquema declarado no projeto</t>
        </is>
      </c>
      <c r="G157" s="11" t="inlineStr">
        <is>
          <t>NBR 14136, NBR 5410</t>
        </is>
      </c>
      <c r="H157" s="11" t="inlineStr"/>
      <c r="I157" s="18" t="inlineStr">
        <is>
          <t>sim</t>
        </is>
      </c>
    </row>
    <row r="159">
      <c r="A159" s="3" t="inlineStr">
        <is>
          <t>ROTA ALTERNATIVA — peça cortada e furada em vez de barra</t>
        </is>
      </c>
    </row>
    <row r="160">
      <c r="A160" s="2" t="inlineStr">
        <is>
          <t>Estes itens NÃO entram no total: são a mesma estrutura comprada pronta. Cotar os dois e comparar contra o custo de corte próprio.</t>
        </is>
      </c>
    </row>
    <row r="161">
      <c r="A161" s="26" t="inlineStr">
        <is>
          <t>ITEM</t>
        </is>
      </c>
      <c r="B161" s="26" t="inlineStr">
        <is>
          <t>DESCRIÇÃO</t>
        </is>
      </c>
      <c r="C161" s="26" t="inlineStr">
        <is>
          <t>UN</t>
        </is>
      </c>
      <c r="D161" s="26" t="inlineStr">
        <is>
          <t>QUANTIDADE</t>
        </is>
      </c>
      <c r="E161" s="26" t="inlineStr">
        <is>
          <t>ESPECIFICAÇÃO</t>
        </is>
      </c>
      <c r="F161" s="26" t="inlineStr">
        <is>
          <t>NORMAS</t>
        </is>
      </c>
    </row>
    <row r="162">
      <c r="A162" s="9" t="inlineStr">
        <is>
          <t>PF-Ue 90x40x12x0,95</t>
        </is>
      </c>
      <c r="B162" s="11" t="inlineStr">
        <is>
          <t>Ue 90x40x12x0,95</t>
        </is>
      </c>
      <c r="C162" s="10" t="inlineStr">
        <is>
          <t>pc</t>
        </is>
      </c>
      <c r="D162" s="14" t="n">
        <v>547</v>
      </c>
      <c r="E162" s="11" t="inlineStr">
        <is>
          <t>peca cortada e furada conforme Ue 90x40x12x0,95;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PF-Ue 250x40x15x3,00</t>
        </is>
      </c>
      <c r="B163" s="11" t="inlineStr">
        <is>
          <t>Ue 250x40x15x3,00</t>
        </is>
      </c>
      <c r="C163" s="10" t="inlineStr">
        <is>
          <t>pc</t>
        </is>
      </c>
      <c r="D163" s="14" t="n">
        <v>22</v>
      </c>
      <c r="E163" s="11" t="inlineStr">
        <is>
          <t>peca cortada e furada conforme Ue 250x40x15x3,00;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 92x38x0,95</t>
        </is>
      </c>
      <c r="B164" s="11" t="inlineStr">
        <is>
          <t>U 92x38x0,95</t>
        </is>
      </c>
      <c r="C164" s="10" t="inlineStr">
        <is>
          <t>pc</t>
        </is>
      </c>
      <c r="D164" s="14" t="n">
        <v>299</v>
      </c>
      <c r="E164" s="11" t="inlineStr">
        <is>
          <t>peca cortada e furada conforme U 92x38x0,95;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250x40x12x2,25</t>
        </is>
      </c>
      <c r="B165" s="11" t="inlineStr">
        <is>
          <t>Ue 250x40x12x2,25</t>
        </is>
      </c>
      <c r="C165" s="10" t="inlineStr">
        <is>
          <t>pc</t>
        </is>
      </c>
      <c r="D165" s="14" t="n">
        <v>24</v>
      </c>
      <c r="E165" s="11" t="inlineStr">
        <is>
          <t>peca cortada e furada conforme Ue 250x40x12x2,25;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200x40x12x1,25</t>
        </is>
      </c>
      <c r="B166" s="11" t="inlineStr">
        <is>
          <t>Ue 200x40x12x1,25</t>
        </is>
      </c>
      <c r="C166" s="10" t="inlineStr">
        <is>
          <t>pc</t>
        </is>
      </c>
      <c r="D166" s="14" t="n">
        <v>29</v>
      </c>
      <c r="E166" s="11" t="inlineStr">
        <is>
          <t>peca cortada e furada conforme Ue 200x40x12x1,25;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200x40x12x0,95</t>
        </is>
      </c>
      <c r="B167" s="11" t="inlineStr">
        <is>
          <t>Ue 200x40x12x0,95</t>
        </is>
      </c>
      <c r="C167" s="10" t="inlineStr">
        <is>
          <t>pc</t>
        </is>
      </c>
      <c r="D167" s="14" t="n">
        <v>24</v>
      </c>
      <c r="E167" s="11" t="inlineStr">
        <is>
          <t>peca cortada e furada conforme Ue 200x40x12x0,95;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140x40x12x0,80</t>
        </is>
      </c>
      <c r="B168" s="11" t="inlineStr">
        <is>
          <t>Ue 140x40x12x0,80</t>
        </is>
      </c>
      <c r="C168" s="10" t="inlineStr">
        <is>
          <t>pc</t>
        </is>
      </c>
      <c r="D168" s="14" t="n">
        <v>53</v>
      </c>
      <c r="E168" s="11" t="inlineStr">
        <is>
          <t>peca cortada e furada conforme Ue 140x40x12x0,80;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90x40x12x1,25</t>
        </is>
      </c>
      <c r="B169" s="11" t="inlineStr">
        <is>
          <t>Ue 90x40x12x1,25</t>
        </is>
      </c>
      <c r="C169" s="10" t="inlineStr">
        <is>
          <t>pc</t>
        </is>
      </c>
      <c r="D169" s="14" t="n">
        <v>51</v>
      </c>
      <c r="E169" s="11" t="inlineStr">
        <is>
          <t>peca cortada e furada conforme Ue 90x40x12x1,25;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140x40x12x1,25</t>
        </is>
      </c>
      <c r="B170" s="11" t="inlineStr">
        <is>
          <t>Ue 140x40x12x1,25</t>
        </is>
      </c>
      <c r="C170" s="10" t="inlineStr">
        <is>
          <t>pc</t>
        </is>
      </c>
      <c r="D170" s="14" t="n">
        <v>19</v>
      </c>
      <c r="E170" s="11" t="inlineStr">
        <is>
          <t>peca cortada e furada conforme Ue 140x40x12x1,25;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250x40x12x1,25</t>
        </is>
      </c>
      <c r="B171" s="11" t="inlineStr">
        <is>
          <t>Ue 250x40x12x1,25</t>
        </is>
      </c>
      <c r="C171" s="10" t="inlineStr">
        <is>
          <t>pc</t>
        </is>
      </c>
      <c r="D171" s="14" t="n">
        <v>4</v>
      </c>
      <c r="E171" s="11" t="inlineStr">
        <is>
          <t>peca cortada e furada conforme Ue 250x40x12x1,25;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PF-Fita 38x0,80</t>
        </is>
      </c>
      <c r="B172" s="11" t="inlineStr">
        <is>
          <t>Fita 38x0,80</t>
        </is>
      </c>
      <c r="C172" s="10" t="inlineStr">
        <is>
          <t>pc</t>
        </is>
      </c>
      <c r="D172" s="14" t="n">
        <v>28</v>
      </c>
      <c r="E172" s="11" t="inlineStr">
        <is>
          <t>peca cortada e furada conforme Fita 38x0,80;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PLACA</t>
        </is>
      </c>
      <c r="B173" s="11" t="inlineStr">
        <is>
          <t>Placa (gesso, RU e cimenticia)</t>
        </is>
      </c>
      <c r="C173" s="10" t="inlineStr">
        <is>
          <t>pc</t>
        </is>
      </c>
      <c r="D173" s="14" t="n">
        <v>837</v>
      </c>
      <c r="E173" s="11" t="inlineStr">
        <is>
          <t>placa inteira, por formato — rota alternativa a compra por m2; formatos: 1200 x 2400, 1200 x 25000, 600 x 1250</t>
        </is>
      </c>
      <c r="F173" s="10" t="inlineStr">
        <is>
          <t>NBR 15758</t>
        </is>
      </c>
    </row>
  </sheetData>
  <autoFilter ref="A3:I157"/>
  <conditionalFormatting sqref="I4:I157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fundacao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cimento, areia e brita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fundacao</t>
        </is>
      </c>
      <c r="B25" s="18" t="n">
        <v>2</v>
      </c>
      <c r="C25" s="10" t="inlineStr">
        <is>
          <t>Loja do Rei Comercio de Material de Construcao</t>
        </is>
      </c>
      <c r="D25" s="36" t="inlineStr">
        <is>
          <t>Manaus/AM</t>
        </is>
      </c>
      <c r="E25" s="11" t="inlineStr">
        <is>
          <t>maior faturamento do setor na praca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fundacao</t>
        </is>
      </c>
      <c r="B26" s="18" t="n">
        <v>3</v>
      </c>
      <c r="C26" s="10" t="inlineStr">
        <is>
          <t>Bacuri Madeiras e Material de Construcao</t>
        </is>
      </c>
      <c r="D26" s="36" t="inlineStr">
        <is>
          <t>Manaus/AM</t>
        </is>
      </c>
      <c r="E26" s="11" t="inlineStr">
        <is>
          <t>insumos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fundacao</t>
        </is>
      </c>
      <c r="B27" s="18" t="n">
        <v>4</v>
      </c>
      <c r="C27" s="10" t="inlineStr">
        <is>
          <t>Concreteiras locais (usinas de Manaus)</t>
        </is>
      </c>
      <c r="D27" s="36" t="inlineStr">
        <is>
          <t>Manaus/AM</t>
        </is>
      </c>
      <c r="E27" s="11" t="inlineStr">
        <is>
          <t>concreto usinado fck 30 com bombeamento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fundacao</t>
        </is>
      </c>
      <c r="B28" s="18" t="n">
        <v>5</v>
      </c>
      <c r="C28" s="10" t="inlineStr">
        <is>
          <t>Gerdau / ArcelorMittal</t>
        </is>
      </c>
      <c r="D28" s="10" t="inlineStr">
        <is>
          <t>Nacional</t>
        </is>
      </c>
      <c r="E28" s="11" t="inlineStr">
        <is>
          <t>aco CA-50 e tela soldada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revestimento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porcelanato, argamassa e rejunte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revestimento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revestimento e assentamento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revestimento</t>
        </is>
      </c>
      <c r="B31" s="18" t="n">
        <v>3</v>
      </c>
      <c r="C31" s="10" t="inlineStr">
        <is>
          <t>Bacuri Materiais</t>
        </is>
      </c>
      <c r="D31" s="36" t="inlineStr">
        <is>
          <t>Manaus/AM</t>
        </is>
      </c>
      <c r="E31" s="11" t="inlineStr">
        <is>
          <t>revestimento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revestimento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porcelanato, fabricante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revestimento</t>
        </is>
      </c>
      <c r="B33" s="18" t="n">
        <v>5</v>
      </c>
      <c r="C33" s="10" t="inlineStr">
        <is>
          <t>Quartzolit / Votomassa</t>
        </is>
      </c>
      <c r="D33" s="10" t="inlineStr">
        <is>
          <t>Nacional</t>
        </is>
      </c>
      <c r="E33" s="11" t="inlineStr">
        <is>
          <t>argamassa colante e rejunte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externo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bloco,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externo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bloco de concreto estrutural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externo</t>
        </is>
      </c>
      <c r="B36" s="18" t="n">
        <v>3</v>
      </c>
      <c r="C36" s="10" t="inlineStr">
        <is>
          <t>O K Representacao de Material de Construcao</t>
        </is>
      </c>
      <c r="D36" s="36" t="inlineStr">
        <is>
          <t>Manaus/AM</t>
        </is>
      </c>
      <c r="E36" s="11" t="inlineStr">
        <is>
          <t>representacao e distribuicao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externo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 externo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externo</t>
        </is>
      </c>
      <c r="B38" s="18" t="n">
        <v>5</v>
      </c>
      <c r="C38" s="10" t="inlineStr">
        <is>
          <t>Fabricantes de WPC (deck coextrudado)</t>
        </is>
      </c>
      <c r="D38" s="10" t="inlineStr">
        <is>
          <t>Nacional</t>
        </is>
      </c>
      <c r="E38" s="11" t="inlineStr">
        <is>
          <t>deck de madeira plastica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estrutura</t>
        </is>
      </c>
      <c r="B39" s="18" t="n">
        <v>1</v>
      </c>
      <c r="C39" s="10" t="inlineStr">
        <is>
          <t>Tecnoframe</t>
        </is>
      </c>
      <c r="D39" s="36" t="inlineStr">
        <is>
          <t>Manaus/AM</t>
        </is>
      </c>
      <c r="E39" s="11" t="inlineStr">
        <is>
          <t>perfis LSF, fabricante com atuacao local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estrutura</t>
        </is>
      </c>
      <c r="B40" s="18" t="n">
        <v>2</v>
      </c>
      <c r="C40" s="10" t="inlineStr">
        <is>
          <t>Barbieri do Brasil</t>
        </is>
      </c>
      <c r="D40" s="10" t="inlineStr">
        <is>
          <t>Nacional</t>
        </is>
      </c>
      <c r="E40" s="11" t="inlineStr">
        <is>
          <t>perfis galvanizados LSF e drywall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estrutura</t>
        </is>
      </c>
      <c r="B41" s="18" t="n">
        <v>3</v>
      </c>
      <c r="C41" s="10" t="inlineStr">
        <is>
          <t>Multiperfil</t>
        </is>
      </c>
      <c r="D41" s="10" t="inlineStr">
        <is>
          <t>Nacional</t>
        </is>
      </c>
      <c r="E41" s="11" t="inlineStr">
        <is>
          <t>perfis LSF, venda por distribuidor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estrutura</t>
        </is>
      </c>
      <c r="B42" s="18" t="n">
        <v>4</v>
      </c>
      <c r="C42" s="10" t="inlineStr">
        <is>
          <t>Deville Kerr</t>
        </is>
      </c>
      <c r="D42" s="10" t="inlineStr">
        <is>
          <t>Nacional</t>
        </is>
      </c>
      <c r="E42" s="11" t="inlineStr">
        <is>
          <t>perfis LSF direto de fabrica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estrutura</t>
        </is>
      </c>
      <c r="B43" s="18" t="n">
        <v>5</v>
      </c>
      <c r="C43" s="10" t="inlineStr">
        <is>
          <t>Alge Steel / Alge Metalurgica</t>
        </is>
      </c>
      <c r="D43" s="10" t="inlineStr">
        <is>
          <t>Nacional</t>
        </is>
      </c>
      <c r="E43" s="11" t="inlineStr">
        <is>
          <t>perfis steel frame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estrutura</t>
        </is>
      </c>
      <c r="B44" s="18" t="n">
        <v>6</v>
      </c>
      <c r="C44" s="10" t="inlineStr">
        <is>
          <t>MPS Steel</t>
        </is>
      </c>
      <c r="D44" s="10" t="inlineStr">
        <is>
          <t>Nacional</t>
        </is>
      </c>
      <c r="E44" s="11" t="inlineStr">
        <is>
          <t>fabricacao e fornecimento de perfis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2026-09-21T04:55:25Z</dcterms:created>
  <dcterms:modified xsi:type="dcterms:W3CDTF">2026-09-21T04:55:25Z</dcterms:modified>
</cp:coreProperties>
</file>