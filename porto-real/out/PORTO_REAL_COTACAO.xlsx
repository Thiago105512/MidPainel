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'COTAÇÃO'!$A$3:$V$185</definedName>
    <definedName name="_xlnm._FilterDatabase" localSheetId="3" hidden="1">'ESPECIFICAÇÕES'!$A$3:$I$185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DN20
NORMAS: NBR 5410, NBR 5626, NBR 8160</t>
      </text>
    </comment>
    <comment ref="C61" authorId="0" shapeId="0">
      <text>
        <t>tubo, conexao ou condutor conforme descricao; DN75
NORMAS: NBR 5410, NBR 5626, NBR 8160</t>
      </text>
    </comment>
    <comment ref="C62" authorId="0" shapeId="0">
      <text>
        <t>tubo, conexao ou condutor conforme descricao; DN100
NORMAS: NBR 5410, NBR 5626, NBR 8160</t>
      </text>
    </comment>
    <comment ref="C63" authorId="0" shapeId="0">
      <text>
        <t>tubo, conexao ou condutor conforme descricao; DN20
NORMAS: NBR 5410, NBR 5626, NBR 8160</t>
      </text>
    </comment>
    <comment ref="C68" authorId="0" shapeId="0">
      <text>
        <t>tubo, conexao ou condutor conforme descricao
NORMAS: NBR 5410, NBR 5626, NBR 8160</t>
      </text>
    </comment>
    <comment ref="C77" authorId="0" shapeId="0">
      <text>
        <t>tipos em uso: AB 4,8x19 ponta broca, AB 5,5x25 ponta broca
NORMAS: NBR 14762 item 8.4</t>
      </text>
    </comment>
    <comment ref="C7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9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8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6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18" authorId="0" shapeId="0">
      <text>
        <t>hora de equipe, com encargos e EPI
LACUNA: convencao coletiva vigente e composicao de encargos</t>
      </text>
    </comment>
    <comment ref="C119" authorId="0" shapeId="0">
      <text>
        <t>hora de equipe, com encargos e EPI
LACUNA: convencao coletiva vigente e composicao de encargos</t>
      </text>
    </comment>
    <comment ref="C12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23" authorId="0" shapeId="0">
      <text>
        <t>tinta e mao de obra conforme especificacao de acabamento; 2 demaos sobre selador; rendimento declarado na quantidade
NORMAS: NBR 11702, NBR 13245</t>
      </text>
    </comment>
    <comment ref="C12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6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3" authorId="0" shapeId="0">
      <text>
        <t>tinta e mao de obra conforme especificacao de acabamento; 2 demaos sobre selador; rendimento declarado na quantidade
NORMAS: NBR 11702, NBR 13245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7" authorId="0" shapeId="0">
      <text>
        <t>tinta e mao de obra conforme especificacao de acabamento; 2 demaos sobre selador; rendimento declarado na quantidade
NORMAS: NBR 11702, NBR 13245</t>
      </text>
    </comment>
    <comment ref="C13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4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1" authorId="0" shapeId="0">
      <text>
        <t>equipamento novo, com garantia de fabrica e instalacao por credenciado
LACUNA: marca e modelo: a capacidade esta dimensionada, a escolha do equipamento e do proprietario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equipamento novo, com garantia de fabrica e instalacao por credenciado
LACUNA: marca e modelo: a capacidade esta dimensionada, a escolha do equipamento e do proprietario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56" authorId="0" shapeId="0">
      <text>
        <t>tinta e mao de obra conforme especificacao de acabamento; 2 demaos sobre selador; rendimento declarado na quantidade
NORMAS: NBR 11702, NBR 13245</t>
      </text>
    </comment>
    <comment ref="C15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8" authorId="0" shapeId="0">
      <text>
        <t>equipamento novo, com garantia de fabrica e instalacao por credenciado
LACUNA: marca e modelo: a capacidade esta dimensionada, a escolha do equipamento e do proprietario</t>
      </text>
    </comment>
    <comment ref="C15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6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7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7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7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5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R81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8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COUNTIF(V4:V185,"COMPLETO")&amp;" de "&amp;182&amp;" itens com 5 propostas"</f>
        <v/>
      </c>
      <c r="T2" s="7">
        <f>IF(I186=0,0,SUMIF(V4:V185,"COMPLETO",I4:I185)/I186)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2" t="n">
        <v>2474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2" t="n">
        <v>1396.4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FIX-06</t>
        </is>
      </c>
      <c r="B52" s="10" t="inlineStr">
        <is>
          <t>instalacao</t>
        </is>
      </c>
      <c r="C52" s="11" t="inlineStr">
        <is>
          <t>Bucha passa-fio 25 mm (montante atravessado)</t>
        </is>
      </c>
      <c r="D52" s="10" t="inlineStr">
        <is>
          <t>un</t>
        </is>
      </c>
      <c r="E52" s="12" t="n">
        <v>2580</v>
      </c>
      <c r="F52" s="13" t="n">
        <v>0</v>
      </c>
      <c r="G52" s="14">
        <f>E52*(1+F52)</f>
        <v/>
      </c>
      <c r="H52" s="15" t="n">
        <v>1.2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FIX-13</t>
        </is>
      </c>
      <c r="B56" s="10" t="inlineStr">
        <is>
          <t>instalacao</t>
        </is>
      </c>
      <c r="C56" s="11" t="inlineStr">
        <is>
          <t>Clip de eletroduto no montante (a cada 1.200 mm)</t>
        </is>
      </c>
      <c r="D56" s="10" t="inlineStr">
        <is>
          <t>un</t>
        </is>
      </c>
      <c r="E56" s="12" t="n">
        <v>1746</v>
      </c>
      <c r="F56" s="13" t="n">
        <v>0</v>
      </c>
      <c r="G56" s="14">
        <f>E56*(1+F56)</f>
        <v/>
      </c>
      <c r="H56" s="15" t="n">
        <v>0.9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MEP-ISOL</t>
        </is>
      </c>
      <c r="B57" s="10" t="inlineStr">
        <is>
          <t>instalacao</t>
        </is>
      </c>
      <c r="C57" s="11" t="inlineStr">
        <is>
          <t>Isolamento de linha</t>
        </is>
      </c>
      <c r="D57" s="10" t="inlineStr">
        <is>
          <t>m</t>
        </is>
      </c>
      <c r="E57" s="12" t="n">
        <v>112</v>
      </c>
      <c r="F57" s="13" t="n">
        <v>0</v>
      </c>
      <c r="G57" s="14">
        <f>E57*(1+F57)</f>
        <v/>
      </c>
      <c r="H57" s="15" t="n">
        <v>14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MEP-DISJ</t>
        </is>
      </c>
      <c r="B58" s="10" t="inlineStr">
        <is>
          <t>instalacao</t>
        </is>
      </c>
      <c r="C58" s="11" t="inlineStr">
        <is>
          <t>Disjuntor</t>
        </is>
      </c>
      <c r="D58" s="10" t="inlineStr">
        <is>
          <t>un</t>
        </is>
      </c>
      <c r="E58" s="12" t="n">
        <v>37</v>
      </c>
      <c r="F58" s="13" t="n">
        <v>0</v>
      </c>
      <c r="G58" s="14">
        <f>E58*(1+F58)</f>
        <v/>
      </c>
      <c r="H58" s="15" t="n">
        <v>38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MEP-PEX20</t>
        </is>
      </c>
      <c r="B59" s="10" t="inlineStr">
        <is>
          <t>instalacao</t>
        </is>
      </c>
      <c r="C59" s="11" t="inlineStr">
        <is>
          <t>Tubo PEX DN20 agua fria, pela parede a 400 mm</t>
        </is>
      </c>
      <c r="D59" s="10" t="inlineStr">
        <is>
          <t>m</t>
        </is>
      </c>
      <c r="E59" s="12" t="n">
        <v>121.5</v>
      </c>
      <c r="F59" s="13" t="n">
        <v>0</v>
      </c>
      <c r="G59" s="14">
        <f>E59*(1+F59)</f>
        <v/>
      </c>
      <c r="H59" s="15" t="n">
        <v>9.800000000000001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FIX-10</t>
        </is>
      </c>
      <c r="B60" s="10" t="inlineStr">
        <is>
          <t>instalacao</t>
        </is>
      </c>
      <c r="C60" s="11" t="inlineStr">
        <is>
          <t>Caixa de passagem</t>
        </is>
      </c>
      <c r="D60" s="10" t="inlineStr">
        <is>
          <t>un</t>
        </is>
      </c>
      <c r="E60" s="12" t="n">
        <v>130</v>
      </c>
      <c r="F60" s="13" t="n">
        <v>0</v>
      </c>
      <c r="G60" s="14">
        <f>E60*(1+F60)</f>
        <v/>
      </c>
      <c r="H60" s="15" t="n">
        <v>9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MEP-ESGO75</t>
        </is>
      </c>
      <c r="B61" s="10" t="inlineStr">
        <is>
          <t>instalacao</t>
        </is>
      </c>
      <c r="C61" s="11" t="inlineStr">
        <is>
          <t>Tubo esgoto DN75</t>
        </is>
      </c>
      <c r="D61" s="10" t="inlineStr">
        <is>
          <t>m</t>
        </is>
      </c>
      <c r="E61" s="12" t="n">
        <v>38.3</v>
      </c>
      <c r="F61" s="13" t="n">
        <v>0</v>
      </c>
      <c r="G61" s="14">
        <f>E61*(1+F61)</f>
        <v/>
      </c>
      <c r="H61" s="15" t="n">
        <v>26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2" t="n">
        <v>36.1</v>
      </c>
      <c r="F62" s="13" t="n">
        <v>0</v>
      </c>
      <c r="G62" s="14">
        <f>E62*(1+F62)</f>
        <v/>
      </c>
      <c r="H62" s="15" t="n">
        <v>26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2" t="n">
        <v>39.8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2" t="n">
        <v>107</v>
      </c>
      <c r="F64" s="13" t="n">
        <v>0</v>
      </c>
      <c r="G64" s="14">
        <f>E64*(1+F64)</f>
        <v/>
      </c>
      <c r="H64" s="15" t="n">
        <v>6.2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2" t="n">
        <v>21</v>
      </c>
      <c r="F65" s="13" t="n">
        <v>0</v>
      </c>
      <c r="G65" s="14">
        <f>E65*(1+F65)</f>
        <v/>
      </c>
      <c r="H65" s="15" t="n">
        <v>28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2" t="n">
        <v>113</v>
      </c>
      <c r="F66" s="13" t="n">
        <v>0</v>
      </c>
      <c r="G66" s="14">
        <f>E66*(1+F66)</f>
        <v/>
      </c>
      <c r="H66" s="15" t="n">
        <v>4.8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2" t="n">
        <v>300</v>
      </c>
      <c r="F67" s="13" t="n">
        <v>0</v>
      </c>
      <c r="G67" s="14">
        <f>E67*(1+F67)</f>
        <v/>
      </c>
      <c r="H67" s="15" t="n">
        <v>1.5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MEP-DRENO</t>
        </is>
      </c>
      <c r="B68" s="10" t="inlineStr">
        <is>
          <t>instalacao</t>
        </is>
      </c>
      <c r="C68" s="11" t="inlineStr">
        <is>
          <t>Dreno de condensado</t>
        </is>
      </c>
      <c r="D68" s="10" t="inlineStr">
        <is>
          <t>m</t>
        </is>
      </c>
      <c r="E68" s="12" t="n">
        <v>44.8</v>
      </c>
      <c r="F68" s="13" t="n">
        <v>0</v>
      </c>
      <c r="G68" s="14">
        <f>E68*(1+F68)</f>
        <v/>
      </c>
      <c r="H68" s="15" t="n">
        <v>9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FIX-01</t>
        </is>
      </c>
      <c r="B69" s="10" t="inlineStr">
        <is>
          <t>instalacao</t>
        </is>
      </c>
      <c r="C69" s="11" t="inlineStr">
        <is>
          <t>Abracadeira de eletroduto no forro/entrepiso (a cada 1.000 mm)</t>
        </is>
      </c>
      <c r="D69" s="10" t="inlineStr">
        <is>
          <t>un</t>
        </is>
      </c>
      <c r="E69" s="12" t="n">
        <v>161</v>
      </c>
      <c r="F69" s="13" t="n">
        <v>0</v>
      </c>
      <c r="G69" s="14">
        <f>E69*(1+F69)</f>
        <v/>
      </c>
      <c r="H69" s="15" t="n">
        <v>2.5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FIX-14</t>
        </is>
      </c>
      <c r="B70" s="10" t="inlineStr">
        <is>
          <t>instalacao</t>
        </is>
      </c>
      <c r="C70" s="11" t="inlineStr">
        <is>
          <t>Eletroduto PEAD enterrado (m)</t>
        </is>
      </c>
      <c r="D70" s="10" t="inlineStr">
        <is>
          <t>m</t>
        </is>
      </c>
      <c r="E70" s="12" t="n">
        <v>22.5</v>
      </c>
      <c r="F70" s="13" t="n">
        <v>0</v>
      </c>
      <c r="G70" s="14">
        <f>E70*(1+F70)</f>
        <v/>
      </c>
      <c r="H70" s="15" t="n">
        <v>12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2" t="n">
        <v>78</v>
      </c>
      <c r="F71" s="13" t="n">
        <v>0</v>
      </c>
      <c r="G71" s="14">
        <f>E71*(1+F71)</f>
        <v/>
      </c>
      <c r="H71" s="15" t="n">
        <v>3.2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FIX-08</t>
        </is>
      </c>
      <c r="B72" s="10" t="inlineStr">
        <is>
          <t>instalacao</t>
        </is>
      </c>
      <c r="C72" s="11" t="inlineStr">
        <is>
          <t>Caixa 4x4</t>
        </is>
      </c>
      <c r="D72" s="10" t="inlineStr">
        <is>
          <t>un</t>
        </is>
      </c>
      <c r="E72" s="12" t="n">
        <v>40</v>
      </c>
      <c r="F72" s="13" t="n">
        <v>0</v>
      </c>
      <c r="G72" s="14">
        <f>E72*(1+F72)</f>
        <v/>
      </c>
      <c r="H72" s="15" t="n">
        <v>6.2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FIX-12</t>
        </is>
      </c>
      <c r="B73" s="10" t="inlineStr">
        <is>
          <t>instalacao</t>
        </is>
      </c>
      <c r="C73" s="11" t="inlineStr">
        <is>
          <t>Clip de PEX no montante (a cada 600 mm)</t>
        </is>
      </c>
      <c r="D73" s="10" t="inlineStr">
        <is>
          <t>un</t>
        </is>
      </c>
      <c r="E73" s="12" t="n">
        <v>275</v>
      </c>
      <c r="F73" s="13" t="n">
        <v>0</v>
      </c>
      <c r="G73" s="14">
        <f>E73*(1+F73)</f>
        <v/>
      </c>
      <c r="H73" s="15" t="n">
        <v>0.8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2" t="n">
        <v>24</v>
      </c>
      <c r="F74" s="13" t="n">
        <v>0</v>
      </c>
      <c r="G74" s="14">
        <f>E74*(1+F74)</f>
        <v/>
      </c>
      <c r="H74" s="15" t="n">
        <v>6.5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2" t="n">
        <v>30</v>
      </c>
      <c r="F75" s="13" t="n">
        <v>0</v>
      </c>
      <c r="G75" s="14">
        <f>E75*(1+F75)</f>
        <v/>
      </c>
      <c r="H75" s="15" t="n">
        <v>0.8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2" t="n">
        <v>52</v>
      </c>
      <c r="F76" s="13" t="n">
        <v>0</v>
      </c>
      <c r="G76" s="14">
        <f>E76*(1+F76)</f>
        <v/>
      </c>
      <c r="H76" s="15" t="n">
        <v>0.3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2" t="n">
        <v>6070</v>
      </c>
      <c r="F77" s="13" t="n">
        <v>0</v>
      </c>
      <c r="G77" s="14">
        <f>E77*(1+F77)</f>
        <v/>
      </c>
      <c r="H77" s="15" t="n">
        <v>0.28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2" t="n">
        <v>114</v>
      </c>
      <c r="F78" s="13" t="n">
        <v>0</v>
      </c>
      <c r="G78" s="14">
        <f>E78*(1+F78)</f>
        <v/>
      </c>
      <c r="H78" s="15" t="n">
        <v>220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2" t="n">
        <v>155.4</v>
      </c>
      <c r="F79" s="13" t="n">
        <v>0</v>
      </c>
      <c r="G79" s="14">
        <f>E79*(1+F79)</f>
        <v/>
      </c>
      <c r="H79" s="15" t="n">
        <v>88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2" t="n">
        <v>279</v>
      </c>
      <c r="F80" s="13" t="n">
        <v>0</v>
      </c>
      <c r="G80" s="14">
        <f>E80*(1+F80)</f>
        <v/>
      </c>
      <c r="H80" s="15" t="n">
        <v>42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2" t="n">
        <v>192</v>
      </c>
      <c r="F81" s="13" t="n">
        <v>0</v>
      </c>
      <c r="G81" s="14">
        <f>E81*(1+F81)</f>
        <v/>
      </c>
      <c r="H81" s="15" t="n">
        <v>34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2" t="n">
        <v>192</v>
      </c>
      <c r="F82" s="13" t="n">
        <v>0</v>
      </c>
      <c r="G82" s="14">
        <f>E82*(1+F82)</f>
        <v/>
      </c>
      <c r="H82" s="15" t="n">
        <v>34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BRI-MEC</t>
        </is>
      </c>
      <c r="B83" s="10" t="inlineStr">
        <is>
          <t>fachada</t>
        </is>
      </c>
      <c r="C83" s="11" t="inlineStr">
        <is>
          <t>Mecanismo de brise movel: guia, roldana e trava</t>
        </is>
      </c>
      <c r="D83" s="10" t="inlineStr">
        <is>
          <t>cj</t>
        </is>
      </c>
      <c r="E83" s="12" t="n">
        <v>2</v>
      </c>
      <c r="F83" s="13" t="n">
        <v>0</v>
      </c>
      <c r="G83" s="14">
        <f>E83*(1+F83)</f>
        <v/>
      </c>
      <c r="H83" s="15" t="n">
        <v>2400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FAC-JUNTA-SECA</t>
        </is>
      </c>
      <c r="B84" s="10" t="inlineStr">
        <is>
          <t>fachada</t>
        </is>
      </c>
      <c r="C84" s="11" t="inlineStr">
        <is>
          <t>Junta seca: perfil EPDM e fundo de junta</t>
        </is>
      </c>
      <c r="D84" s="10" t="inlineStr">
        <is>
          <t>m</t>
        </is>
      </c>
      <c r="E84" s="12" t="n">
        <v>194.3</v>
      </c>
      <c r="F84" s="13" t="n">
        <v>0</v>
      </c>
      <c r="G84" s="14">
        <f>E84*(1+F84)</f>
        <v/>
      </c>
      <c r="H84" s="15" t="n">
        <v>22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2" t="n">
        <v>54.8</v>
      </c>
      <c r="F85" s="13" t="n">
        <v>0</v>
      </c>
      <c r="G85" s="14">
        <f>E85*(1+F85)</f>
        <v/>
      </c>
      <c r="H85" s="15" t="n">
        <v>68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2" t="n">
        <v>239.9</v>
      </c>
      <c r="F86" s="13" t="n">
        <v>0</v>
      </c>
      <c r="G86" s="14">
        <f>E86*(1+F86)</f>
        <v/>
      </c>
      <c r="H86" s="15" t="n">
        <v>14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FAC-TELA</t>
        </is>
      </c>
      <c r="B87" s="10" t="inlineStr">
        <is>
          <t>fachada</t>
        </is>
      </c>
      <c r="C87" s="11" t="inlineStr">
        <is>
          <t>Tela de fibra de vidro alcali-resistente, embutida no basecoat</t>
        </is>
      </c>
      <c r="D87" s="10" t="inlineStr">
        <is>
          <t>m2</t>
        </is>
      </c>
      <c r="E87" s="12" t="n">
        <v>211.2</v>
      </c>
      <c r="F87" s="13" t="n">
        <v>0</v>
      </c>
      <c r="G87" s="14">
        <f>E87*(1+F87)</f>
        <v/>
      </c>
      <c r="H87" s="15" t="n">
        <v>9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BRI-TRAV</t>
        </is>
      </c>
      <c r="B88" s="10" t="inlineStr">
        <is>
          <t>fachada</t>
        </is>
      </c>
      <c r="C88" s="11" t="inlineStr">
        <is>
          <t>Travessa de brise: U 50x25x1,2 aluminio</t>
        </is>
      </c>
      <c r="D88" s="10" t="inlineStr">
        <is>
          <t>m</t>
        </is>
      </c>
      <c r="E88" s="12" t="n">
        <v>41.4</v>
      </c>
      <c r="F88" s="13" t="n">
        <v>0</v>
      </c>
      <c r="G88" s="14">
        <f>E88*(1+F88)</f>
        <v/>
      </c>
      <c r="H88" s="15" t="n">
        <v>38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2" t="n">
        <v>80</v>
      </c>
      <c r="F89" s="13" t="n">
        <v>0</v>
      </c>
      <c r="G89" s="14">
        <f>E89*(1+F89)</f>
        <v/>
      </c>
      <c r="H89" s="15" t="n">
        <v>6.5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2" t="n">
        <v>3118</v>
      </c>
      <c r="F90" s="13" t="n">
        <v>0</v>
      </c>
      <c r="G90" s="14">
        <f>E90*(1+F90)</f>
        <v/>
      </c>
      <c r="H90" s="15" t="n">
        <v>4.8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2" t="n">
        <v>33.12</v>
      </c>
      <c r="F91" s="13" t="n">
        <v>0</v>
      </c>
      <c r="G91" s="14">
        <f>E91*(1+F91)</f>
        <v/>
      </c>
      <c r="H91" s="15" t="n">
        <v>320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2" t="n">
        <v>4.57</v>
      </c>
      <c r="F92" s="13" t="n">
        <v>0</v>
      </c>
      <c r="G92" s="14">
        <f>E92*(1+F92)</f>
        <v/>
      </c>
      <c r="H92" s="15" t="n">
        <v>1450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2" t="n">
        <v>43.2</v>
      </c>
      <c r="F93" s="13" t="n">
        <v>0</v>
      </c>
      <c r="G93" s="14">
        <f>E93*(1+F93)</f>
        <v/>
      </c>
      <c r="H93" s="15" t="n">
        <v>148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2" t="n">
        <v>30.43</v>
      </c>
      <c r="F94" s="13" t="n">
        <v>0</v>
      </c>
      <c r="G94" s="14">
        <f>E94*(1+F94)</f>
        <v/>
      </c>
      <c r="H94" s="15" t="n">
        <v>210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2" t="n">
        <v>24</v>
      </c>
      <c r="F95" s="13" t="n">
        <v>0</v>
      </c>
      <c r="G95" s="14">
        <f>E95*(1+F95)</f>
        <v/>
      </c>
      <c r="H95" s="15" t="n">
        <v>240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EXT-GRAMA</t>
        </is>
      </c>
      <c r="B96" s="10" t="inlineStr">
        <is>
          <t>externo</t>
        </is>
      </c>
      <c r="C96" s="11" t="inlineStr">
        <is>
          <t>Grama e canteiro</t>
        </is>
      </c>
      <c r="D96" s="10" t="inlineStr">
        <is>
          <t>m2</t>
        </is>
      </c>
      <c r="E96" s="12" t="n">
        <v>137.16</v>
      </c>
      <c r="F96" s="13" t="n">
        <v>0</v>
      </c>
      <c r="G96" s="14">
        <f>E96*(1+F96)</f>
        <v/>
      </c>
      <c r="H96" s="15" t="n">
        <v>38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EXT-HIDROF</t>
        </is>
      </c>
      <c r="B97" s="10" t="inlineStr">
        <is>
          <t>externo</t>
        </is>
      </c>
      <c r="C97" s="11" t="inlineStr">
        <is>
          <t>Hidrofugante incolor no muro aparente</t>
        </is>
      </c>
      <c r="D97" s="10" t="inlineStr">
        <is>
          <t>m2</t>
        </is>
      </c>
      <c r="E97" s="12" t="n">
        <v>249.5</v>
      </c>
      <c r="F97" s="13" t="n">
        <v>0</v>
      </c>
      <c r="G97" s="14">
        <f>E97*(1+F97)</f>
        <v/>
      </c>
      <c r="H97" s="15" t="n">
        <v>18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EXT-ARV</t>
        </is>
      </c>
      <c r="B98" s="10" t="inlineStr">
        <is>
          <t>externo</t>
        </is>
      </c>
      <c r="C98" s="11" t="inlineStr">
        <is>
          <t>Arvore de porte</t>
        </is>
      </c>
      <c r="D98" s="10" t="inlineStr">
        <is>
          <t>un</t>
        </is>
      </c>
      <c r="E98" s="12" t="n">
        <v>5</v>
      </c>
      <c r="F98" s="13" t="n">
        <v>0</v>
      </c>
      <c r="G98" s="14">
        <f>E98*(1+F98)</f>
        <v/>
      </c>
      <c r="H98" s="15" t="n">
        <v>780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EXT-PISO1</t>
        </is>
      </c>
      <c r="B99" s="10" t="inlineStr">
        <is>
          <t>externo</t>
        </is>
      </c>
      <c r="C99" s="11" t="inlineStr">
        <is>
          <t>faixa seca da piscina: porcelanato externo claro R11</t>
        </is>
      </c>
      <c r="D99" s="10" t="inlineStr">
        <is>
          <t>m2</t>
        </is>
      </c>
      <c r="E99" s="12" t="n">
        <v>24.3</v>
      </c>
      <c r="F99" s="13" t="n">
        <v>0</v>
      </c>
      <c r="G99" s="14">
        <f>E99*(1+F99)</f>
        <v/>
      </c>
      <c r="H99" s="15" t="n">
        <v>148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EXT-BORDA</t>
        </is>
      </c>
      <c r="B100" s="10" t="inlineStr">
        <is>
          <t>externo</t>
        </is>
      </c>
      <c r="C100" s="11" t="inlineStr">
        <is>
          <t>Borda de piscina</t>
        </is>
      </c>
      <c r="D100" s="10" t="inlineStr">
        <is>
          <t>m</t>
        </is>
      </c>
      <c r="E100" s="12" t="n">
        <v>17.4</v>
      </c>
      <c r="F100" s="13" t="n">
        <v>0</v>
      </c>
      <c r="G100" s="14">
        <f>E100*(1+F100)</f>
        <v/>
      </c>
      <c r="H100" s="15" t="n">
        <v>185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EXT-PISO3</t>
        </is>
      </c>
      <c r="B101" s="10" t="inlineStr">
        <is>
          <t>externo</t>
        </is>
      </c>
      <c r="C101" s="11" t="inlineStr">
        <is>
          <t>passeio e acesso: piso drenante intertravado claro</t>
        </is>
      </c>
      <c r="D101" s="10" t="inlineStr">
        <is>
          <t>m2</t>
        </is>
      </c>
      <c r="E101" s="12" t="n">
        <v>30.96</v>
      </c>
      <c r="F101" s="13" t="n">
        <v>0</v>
      </c>
      <c r="G101" s="14">
        <f>E101*(1+F101)</f>
        <v/>
      </c>
      <c r="H101" s="15" t="n">
        <v>96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EXT-PISC-BOMBA</t>
        </is>
      </c>
      <c r="B102" s="10" t="inlineStr">
        <is>
          <t>externo</t>
        </is>
      </c>
      <c r="C102" s="11" t="inlineStr">
        <is>
          <t>Piscina: bomba velocidade variavel 0,5 cv com pre-filtro</t>
        </is>
      </c>
      <c r="D102" s="10" t="inlineStr">
        <is>
          <t>un</t>
        </is>
      </c>
      <c r="E102" s="12" t="n">
        <v>1</v>
      </c>
      <c r="F102" s="13" t="n">
        <v>0</v>
      </c>
      <c r="G102" s="14">
        <f>E102*(1+F102)</f>
        <v/>
      </c>
      <c r="H102" s="15" t="n">
        <v>2850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EXT-PISC-TUBO</t>
        </is>
      </c>
      <c r="B103" s="10" t="inlineStr">
        <is>
          <t>externo</t>
        </is>
      </c>
      <c r="C103" s="11" t="inlineStr">
        <is>
          <t>Piscina: tubo PVC soldavel DN50 com conexoes</t>
        </is>
      </c>
      <c r="D103" s="10" t="inlineStr">
        <is>
          <t>m</t>
        </is>
      </c>
      <c r="E103" s="12" t="n">
        <v>94.2</v>
      </c>
      <c r="F103" s="13" t="n">
        <v>0</v>
      </c>
      <c r="G103" s="14">
        <f>E103*(1+F103)</f>
        <v/>
      </c>
      <c r="H103" s="15" t="n">
        <v>28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EXT-PISO5</t>
        </is>
      </c>
      <c r="B104" s="10" t="inlineStr">
        <is>
          <t>externo</t>
        </is>
      </c>
      <c r="C104" s="11" t="inlineStr">
        <is>
          <t>varanda do pavimento superior: porcelanato externo claro R11</t>
        </is>
      </c>
      <c r="D104" s="10" t="inlineStr">
        <is>
          <t>m2</t>
        </is>
      </c>
      <c r="E104" s="12" t="n">
        <v>14.04</v>
      </c>
      <c r="F104" s="13" t="n">
        <v>0</v>
      </c>
      <c r="G104" s="14">
        <f>E104*(1+F104)</f>
        <v/>
      </c>
      <c r="H104" s="15" t="n">
        <v>148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EXT-GRAUTE</t>
        </is>
      </c>
      <c r="B105" s="10" t="inlineStr">
        <is>
          <t>externo</t>
        </is>
      </c>
      <c r="C105" s="11" t="inlineStr">
        <is>
          <t>Graute de cinta e pilarete do muro</t>
        </is>
      </c>
      <c r="D105" s="10" t="inlineStr">
        <is>
          <t>m3</t>
        </is>
      </c>
      <c r="E105" s="12" t="n">
        <v>2.99</v>
      </c>
      <c r="F105" s="13" t="n">
        <v>0</v>
      </c>
      <c r="G105" s="14">
        <f>E105*(1+F105)</f>
        <v/>
      </c>
      <c r="H105" s="15" t="n">
        <v>620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EXT-PISC-FILTRO</t>
        </is>
      </c>
      <c r="B106" s="10" t="inlineStr">
        <is>
          <t>externo</t>
        </is>
      </c>
      <c r="C106" s="11" t="inlineStr">
        <is>
          <t>Piscina: filtro de areia DE 500 mm com valvula seletora</t>
        </is>
      </c>
      <c r="D106" s="10" t="inlineStr">
        <is>
          <t>un</t>
        </is>
      </c>
      <c r="E106" s="12" t="n">
        <v>1</v>
      </c>
      <c r="F106" s="13" t="n">
        <v>0</v>
      </c>
      <c r="G106" s="14">
        <f>E106*(1+F106)</f>
        <v/>
      </c>
      <c r="H106" s="15" t="n">
        <v>1850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EXT-PISC-IMP</t>
        </is>
      </c>
      <c r="B107" s="10" t="inlineStr">
        <is>
          <t>externo</t>
        </is>
      </c>
      <c r="C107" s="11" t="inlineStr">
        <is>
          <t>Piscina: impermeabilizacao (cristalizante + polimerica)</t>
        </is>
      </c>
      <c r="D107" s="10" t="inlineStr">
        <is>
          <t>m2</t>
        </is>
      </c>
      <c r="E107" s="12" t="n">
        <v>30.43</v>
      </c>
      <c r="F107" s="13" t="n">
        <v>0</v>
      </c>
      <c r="G107" s="14">
        <f>E107*(1+F107)</f>
        <v/>
      </c>
      <c r="H107" s="15" t="n">
        <v>58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EXT-PISC-LED</t>
        </is>
      </c>
      <c r="B108" s="10" t="inlineStr">
        <is>
          <t>externo</t>
        </is>
      </c>
      <c r="C108" s="11" t="inlineStr">
        <is>
          <t>Piscina: LED subaquatico 18 W 2700-3000 K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390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EXT-PISC-DRENO</t>
        </is>
      </c>
      <c r="B109" s="10" t="inlineStr">
        <is>
          <t>externo</t>
        </is>
      </c>
      <c r="C109" s="11" t="inlineStr">
        <is>
          <t>Piscina: dreno de fundo antiaprisionamento</t>
        </is>
      </c>
      <c r="D109" s="10" t="inlineStr">
        <is>
          <t>un</t>
        </is>
      </c>
      <c r="E109" s="12" t="n">
        <v>2</v>
      </c>
      <c r="F109" s="13" t="n">
        <v>0</v>
      </c>
      <c r="G109" s="14">
        <f>E109*(1+F109)</f>
        <v/>
      </c>
      <c r="H109" s="15" t="n">
        <v>220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EXT-PISC-AREIA</t>
        </is>
      </c>
      <c r="B110" s="10" t="inlineStr">
        <is>
          <t>externo</t>
        </is>
      </c>
      <c r="C110" s="11" t="inlineStr">
        <is>
          <t>Piscina: areia filtrante (leito de 600 mm)</t>
        </is>
      </c>
      <c r="D110" s="10" t="inlineStr">
        <is>
          <t>kg</t>
        </is>
      </c>
      <c r="E110" s="12" t="n">
        <v>188</v>
      </c>
      <c r="F110" s="13" t="n">
        <v>0</v>
      </c>
      <c r="G110" s="14">
        <f>E110*(1+F110)</f>
        <v/>
      </c>
      <c r="H110" s="15" t="n">
        <v>2.2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EXT-PISC-FONTE</t>
        </is>
      </c>
      <c r="B111" s="10" t="inlineStr">
        <is>
          <t>externo</t>
        </is>
      </c>
      <c r="C111" s="11" t="inlineStr">
        <is>
          <t>Piscina: fonte SELV 12 V com DR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260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EXT-PISC-REG</t>
        </is>
      </c>
      <c r="B112" s="10" t="inlineStr">
        <is>
          <t>externo</t>
        </is>
      </c>
      <c r="C112" s="11" t="inlineStr">
        <is>
          <t>Piscina: registro de esfera DN50</t>
        </is>
      </c>
      <c r="D112" s="10" t="inlineStr">
        <is>
          <t>un</t>
        </is>
      </c>
      <c r="E112" s="12" t="n">
        <v>5</v>
      </c>
      <c r="F112" s="13" t="n">
        <v>0</v>
      </c>
      <c r="G112" s="14">
        <f>E112*(1+F112)</f>
        <v/>
      </c>
      <c r="H112" s="15" t="n">
        <v>48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EXT-PISC-SKIM</t>
        </is>
      </c>
      <c r="B113" s="10" t="inlineStr">
        <is>
          <t>externo</t>
        </is>
      </c>
      <c r="C113" s="11" t="inlineStr">
        <is>
          <t>Piscina: skimmer de embutir</t>
        </is>
      </c>
      <c r="D113" s="10" t="inlineStr">
        <is>
          <t>un</t>
        </is>
      </c>
      <c r="E113" s="12" t="n">
        <v>1</v>
      </c>
      <c r="F113" s="13" t="n">
        <v>0</v>
      </c>
      <c r="G113" s="14">
        <f>E113*(1+F113)</f>
        <v/>
      </c>
      <c r="H113" s="15" t="n">
        <v>180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EXT-PISC-RET</t>
        </is>
      </c>
      <c r="B114" s="10" t="inlineStr">
        <is>
          <t>externo</t>
        </is>
      </c>
      <c r="C114" s="11" t="inlineStr">
        <is>
          <t>Piscina: dispositivo de retorno</t>
        </is>
      </c>
      <c r="D114" s="10" t="inlineStr">
        <is>
          <t>un</t>
        </is>
      </c>
      <c r="E114" s="12" t="n">
        <v>4</v>
      </c>
      <c r="F114" s="13" t="n">
        <v>0</v>
      </c>
      <c r="G114" s="14">
        <f>E114*(1+F114)</f>
        <v/>
      </c>
      <c r="H114" s="15" t="n">
        <v>45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EXT-PISC-CABO</t>
        </is>
      </c>
      <c r="B115" s="10" t="inlineStr">
        <is>
          <t>externo</t>
        </is>
      </c>
      <c r="C115" s="11" t="inlineStr">
        <is>
          <t>Piscina: cabo 12 V dos LEDs</t>
        </is>
      </c>
      <c r="D115" s="10" t="inlineStr">
        <is>
          <t>m</t>
        </is>
      </c>
      <c r="E115" s="12" t="n">
        <v>34.5</v>
      </c>
      <c r="F115" s="13" t="n">
        <v>0</v>
      </c>
      <c r="G115" s="14">
        <f>E115*(1+F115)</f>
        <v/>
      </c>
      <c r="H115" s="15" t="n">
        <v>4.2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EXT-PISC-CXP</t>
        </is>
      </c>
      <c r="B116" s="10" t="inlineStr">
        <is>
          <t>externo</t>
        </is>
      </c>
      <c r="C116" s="11" t="inlineStr">
        <is>
          <t>Piscina: caixa de passagem estanque no deck</t>
        </is>
      </c>
      <c r="D116" s="10" t="inlineStr">
        <is>
          <t>un</t>
        </is>
      </c>
      <c r="E116" s="12" t="n">
        <v>3</v>
      </c>
      <c r="F116" s="13" t="n">
        <v>0</v>
      </c>
      <c r="G116" s="14">
        <f>E116*(1+F116)</f>
        <v/>
      </c>
      <c r="H116" s="15" t="n">
        <v>35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EXT-PISC-ASP</t>
        </is>
      </c>
      <c r="B117" s="10" t="inlineStr">
        <is>
          <t>externo</t>
        </is>
      </c>
      <c r="C117" s="11" t="inlineStr">
        <is>
          <t>Piscina: tomada de aspiracao</t>
        </is>
      </c>
      <c r="D117" s="10" t="inlineStr">
        <is>
          <t>un</t>
        </is>
      </c>
      <c r="E117" s="12" t="n">
        <v>1</v>
      </c>
      <c r="F117" s="13" t="n">
        <v>0</v>
      </c>
      <c r="G117" s="14">
        <f>E117*(1+F117)</f>
        <v/>
      </c>
      <c r="H117" s="15" t="n">
        <v>60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MO-MON</t>
        </is>
      </c>
      <c r="B118" s="10" t="inlineStr">
        <is>
          <t>servico</t>
        </is>
      </c>
      <c r="C118" s="11" t="inlineStr">
        <is>
          <t>Mao de obra de montagem</t>
        </is>
      </c>
      <c r="D118" s="10" t="inlineStr">
        <is>
          <t>h</t>
        </is>
      </c>
      <c r="E118" s="12" t="n">
        <v>844.7</v>
      </c>
      <c r="F118" s="13" t="n">
        <v>0</v>
      </c>
      <c r="G118" s="14">
        <f>E118*(1+F118)</f>
        <v/>
      </c>
      <c r="H118" s="15" t="n">
        <v>42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MO-FAB</t>
        </is>
      </c>
      <c r="B119" s="10" t="inlineStr">
        <is>
          <t>servico</t>
        </is>
      </c>
      <c r="C119" s="11" t="inlineStr">
        <is>
          <t>Mao de obra de fabrica</t>
        </is>
      </c>
      <c r="D119" s="10" t="inlineStr">
        <is>
          <t>h</t>
        </is>
      </c>
      <c r="E119" s="12" t="n">
        <v>50</v>
      </c>
      <c r="F119" s="13" t="n">
        <v>0</v>
      </c>
      <c r="G119" s="14">
        <f>E119*(1+F119)</f>
        <v/>
      </c>
      <c r="H119" s="15" t="n">
        <v>38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MAR-ARM</t>
        </is>
      </c>
      <c r="B120" s="10" t="inlineStr">
        <is>
          <t>marcenaria</t>
        </is>
      </c>
      <c r="C120" s="11" t="inlineStr">
        <is>
          <t>Armario de MDF sob medida (frente)</t>
        </is>
      </c>
      <c r="D120" s="10" t="inlineStr">
        <is>
          <t>m2</t>
        </is>
      </c>
      <c r="E120" s="12" t="n">
        <v>48.64</v>
      </c>
      <c r="F120" s="13" t="n">
        <v>0</v>
      </c>
      <c r="G120" s="14">
        <f>E120*(1+F120)</f>
        <v/>
      </c>
      <c r="H120" s="15" t="n">
        <v>980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REV-PISO</t>
        </is>
      </c>
      <c r="B121" s="10" t="inlineStr">
        <is>
          <t>revestimento</t>
        </is>
      </c>
      <c r="C121" s="11" t="inlineStr">
        <is>
          <t>Piso interno (porcelanato retificado)</t>
        </is>
      </c>
      <c r="D121" s="10" t="inlineStr">
        <is>
          <t>m2</t>
        </is>
      </c>
      <c r="E121" s="12" t="n">
        <v>355.6</v>
      </c>
      <c r="F121" s="13" t="n">
        <v>0</v>
      </c>
      <c r="G121" s="14">
        <f>E121*(1+F121)</f>
        <v/>
      </c>
      <c r="H121" s="15" t="n">
        <v>118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FV-MODULO</t>
        </is>
      </c>
      <c r="B122" s="10" t="inlineStr">
        <is>
          <t>eletrica</t>
        </is>
      </c>
      <c r="C122" s="11" t="inlineStr">
        <is>
          <t>Modulo fotovoltaico 550 Wp</t>
        </is>
      </c>
      <c r="D122" s="10" t="inlineStr">
        <is>
          <t>un</t>
        </is>
      </c>
      <c r="E122" s="12" t="n">
        <v>29</v>
      </c>
      <c r="F122" s="13" t="n">
        <v>0</v>
      </c>
      <c r="G122" s="14">
        <f>E122*(1+F122)</f>
        <v/>
      </c>
      <c r="H122" s="15" t="n">
        <v>780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PIN-PAREDE</t>
        </is>
      </c>
      <c r="B123" s="10" t="inlineStr">
        <is>
          <t>pintura</t>
        </is>
      </c>
      <c r="C123" s="11" t="inlineStr">
        <is>
          <t>Pintura de parede interna (latex acrilico, 2 demaos)</t>
        </is>
      </c>
      <c r="D123" s="10" t="inlineStr">
        <is>
          <t>m2</t>
        </is>
      </c>
      <c r="E123" s="12" t="n">
        <v>640.8</v>
      </c>
      <c r="F123" s="13" t="n">
        <v>0</v>
      </c>
      <c r="G123" s="14">
        <f>E123*(1+F123)</f>
        <v/>
      </c>
      <c r="H123" s="15" t="n">
        <v>26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MAR-GAB</t>
        </is>
      </c>
      <c r="B124" s="10" t="inlineStr">
        <is>
          <t>marcenaria</t>
        </is>
      </c>
      <c r="C124" s="11" t="inlineStr">
        <is>
          <t>Gabinete sob bancada, sob medida</t>
        </is>
      </c>
      <c r="D124" s="10" t="inlineStr">
        <is>
          <t>m</t>
        </is>
      </c>
      <c r="E124" s="12" t="n">
        <v>11.4</v>
      </c>
      <c r="F124" s="13" t="n">
        <v>0</v>
      </c>
      <c r="G124" s="14">
        <f>E124*(1+F124)</f>
        <v/>
      </c>
      <c r="H124" s="15" t="n">
        <v>1450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REV-PAREDE</t>
        </is>
      </c>
      <c r="B125" s="10" t="inlineStr">
        <is>
          <t>revestimento</t>
        </is>
      </c>
      <c r="C125" s="11" t="inlineStr">
        <is>
          <t>Revestimento ceramico de parede em area molhada</t>
        </is>
      </c>
      <c r="D125" s="10" t="inlineStr">
        <is>
          <t>m2</t>
        </is>
      </c>
      <c r="E125" s="12" t="n">
        <v>155.5</v>
      </c>
      <c r="F125" s="13" t="n">
        <v>0</v>
      </c>
      <c r="G125" s="14">
        <f>E125*(1+F125)</f>
        <v/>
      </c>
      <c r="H125" s="15" t="n">
        <v>96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EQP-SPLIT18</t>
        </is>
      </c>
      <c r="B126" s="10" t="inlineStr">
        <is>
          <t>equipamentos</t>
        </is>
      </c>
      <c r="C126" s="11" t="inlineStr">
        <is>
          <t>Split inverter 18.000 BTU/h</t>
        </is>
      </c>
      <c r="D126" s="10" t="inlineStr">
        <is>
          <t>un</t>
        </is>
      </c>
      <c r="E126" s="12" t="n">
        <v>4</v>
      </c>
      <c r="F126" s="13" t="n">
        <v>0</v>
      </c>
      <c r="G126" s="14">
        <f>E126*(1+F126)</f>
        <v/>
      </c>
      <c r="H126" s="15" t="n">
        <v>3200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LOU-BOX</t>
        </is>
      </c>
      <c r="B127" s="10" t="inlineStr">
        <is>
          <t>loucas</t>
        </is>
      </c>
      <c r="C127" s="11" t="inlineStr">
        <is>
          <t>Box de vidro temperado 8 mm, 1.900 mm de altura</t>
        </is>
      </c>
      <c r="D127" s="10" t="inlineStr">
        <is>
          <t>m2</t>
        </is>
      </c>
      <c r="E127" s="12" t="n">
        <v>16.1</v>
      </c>
      <c r="F127" s="13" t="n">
        <v>0</v>
      </c>
      <c r="G127" s="14">
        <f>E127*(1+F127)</f>
        <v/>
      </c>
      <c r="H127" s="15" t="n">
        <v>620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REV-ARG</t>
        </is>
      </c>
      <c r="B128" s="10" t="inlineStr">
        <is>
          <t>revestimento</t>
        </is>
      </c>
      <c r="C128" s="11" t="inlineStr">
        <is>
          <t>Argamassa colante AC-III e regularizacao</t>
        </is>
      </c>
      <c r="D128" s="10" t="inlineStr">
        <is>
          <t>m2</t>
        </is>
      </c>
      <c r="E128" s="12" t="n">
        <v>511.1</v>
      </c>
      <c r="F128" s="13" t="n">
        <v>0</v>
      </c>
      <c r="G128" s="14">
        <f>E128*(1+F128)</f>
        <v/>
      </c>
      <c r="H128" s="15" t="n">
        <v>18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MAR-PRAT</t>
        </is>
      </c>
      <c r="B129" s="10" t="inlineStr">
        <is>
          <t>marcenaria</t>
        </is>
      </c>
      <c r="C129" s="11" t="inlineStr">
        <is>
          <t>Prateleira aberta, por metro de prateleira</t>
        </is>
      </c>
      <c r="D129" s="10" t="inlineStr">
        <is>
          <t>m</t>
        </is>
      </c>
      <c r="E129" s="12" t="n">
        <v>35.19</v>
      </c>
      <c r="F129" s="13" t="n">
        <v>0</v>
      </c>
      <c r="G129" s="14">
        <f>E129*(1+F129)</f>
        <v/>
      </c>
      <c r="H129" s="15" t="n">
        <v>260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FV-INSTAL</t>
        </is>
      </c>
      <c r="B130" s="10" t="inlineStr">
        <is>
          <t>eletrica</t>
        </is>
      </c>
      <c r="C130" s="11" t="inlineStr">
        <is>
          <t>Instalacao e comissionamento</t>
        </is>
      </c>
      <c r="D130" s="10" t="inlineStr">
        <is>
          <t>kWp</t>
        </is>
      </c>
      <c r="E130" s="12" t="n">
        <v>15.95</v>
      </c>
      <c r="F130" s="13" t="n">
        <v>0</v>
      </c>
      <c r="G130" s="14">
        <f>E130*(1+F130)</f>
        <v/>
      </c>
      <c r="H130" s="15" t="n">
        <v>550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MAR-TAMPO</t>
        </is>
      </c>
      <c r="B131" s="10" t="inlineStr">
        <is>
          <t>marcenaria</t>
        </is>
      </c>
      <c r="C131" s="11" t="inlineStr">
        <is>
          <t>Tampo de bancada (quartzo/granito)</t>
        </is>
      </c>
      <c r="D131" s="10" t="inlineStr">
        <is>
          <t>m2</t>
        </is>
      </c>
      <c r="E131" s="12" t="n">
        <v>6.84</v>
      </c>
      <c r="F131" s="13" t="n">
        <v>0</v>
      </c>
      <c r="G131" s="14">
        <f>E131*(1+F131)</f>
        <v/>
      </c>
      <c r="H131" s="15" t="n">
        <v>1250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FV-ESTRUTURA</t>
        </is>
      </c>
      <c r="B132" s="10" t="inlineStr">
        <is>
          <t>eletrica</t>
        </is>
      </c>
      <c r="C132" s="11" t="inlineStr">
        <is>
          <t>Estrutura de fixacao em aluminio sobre terca</t>
        </is>
      </c>
      <c r="D132" s="10" t="inlineStr">
        <is>
          <t>m2</t>
        </is>
      </c>
      <c r="E132" s="12" t="n">
        <v>86.2</v>
      </c>
      <c r="F132" s="13" t="n">
        <v>0</v>
      </c>
      <c r="G132" s="14">
        <f>E132*(1+F132)</f>
        <v/>
      </c>
      <c r="H132" s="15" t="n">
        <v>95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PIN-TINTA</t>
        </is>
      </c>
      <c r="B133" s="10" t="inlineStr">
        <is>
          <t>pintura</t>
        </is>
      </c>
      <c r="C133" s="11" t="inlineStr">
        <is>
          <t>Tinta latex (2 demaos, rendimento 10 m2/L)</t>
        </is>
      </c>
      <c r="D133" s="10" t="inlineStr">
        <is>
          <t>L</t>
        </is>
      </c>
      <c r="E133" s="12" t="n">
        <v>179.6</v>
      </c>
      <c r="F133" s="13" t="n">
        <v>0</v>
      </c>
      <c r="G133" s="14">
        <f>E133*(1+F133)</f>
        <v/>
      </c>
      <c r="H133" s="15" t="n">
        <v>42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REV-RODAPE</t>
        </is>
      </c>
      <c r="B134" s="10" t="inlineStr">
        <is>
          <t>revestimento</t>
        </is>
      </c>
      <c r="C134" s="11" t="inlineStr">
        <is>
          <t>Rodape (poliestireno 100 mm, pintado)</t>
        </is>
      </c>
      <c r="D134" s="10" t="inlineStr">
        <is>
          <t>m</t>
        </is>
      </c>
      <c r="E134" s="12" t="n">
        <v>220.9</v>
      </c>
      <c r="F134" s="13" t="n">
        <v>0</v>
      </c>
      <c r="G134" s="14">
        <f>E134*(1+F134)</f>
        <v/>
      </c>
      <c r="H134" s="15" t="n">
        <v>34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FV-INVERSOR</t>
        </is>
      </c>
      <c r="B135" s="10" t="inlineStr">
        <is>
          <t>eletrica</t>
        </is>
      </c>
      <c r="C135" s="11" t="inlineStr">
        <is>
          <t>Inversor string 12 kW, trifasico 220 V</t>
        </is>
      </c>
      <c r="D135" s="10" t="inlineStr">
        <is>
          <t>kW</t>
        </is>
      </c>
      <c r="E135" s="12" t="n">
        <v>12</v>
      </c>
      <c r="F135" s="13" t="n">
        <v>0</v>
      </c>
      <c r="G135" s="14">
        <f>E135*(1+F135)</f>
        <v/>
      </c>
      <c r="H135" s="15" t="n">
        <v>620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MAR-CABEC</t>
        </is>
      </c>
      <c r="B136" s="10" t="inlineStr">
        <is>
          <t>marcenaria</t>
        </is>
      </c>
      <c r="C136" s="11" t="inlineStr">
        <is>
          <t>Cabeceira estofada</t>
        </is>
      </c>
      <c r="D136" s="10" t="inlineStr">
        <is>
          <t>m2</t>
        </is>
      </c>
      <c r="E136" s="12" t="n">
        <v>10.96</v>
      </c>
      <c r="F136" s="13" t="n">
        <v>0</v>
      </c>
      <c r="G136" s="14">
        <f>E136*(1+F136)</f>
        <v/>
      </c>
      <c r="H136" s="15" t="n">
        <v>650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PIN-FORRO</t>
        </is>
      </c>
      <c r="B137" s="10" t="inlineStr">
        <is>
          <t>pintura</t>
        </is>
      </c>
      <c r="C137" s="11" t="inlineStr">
        <is>
          <t>Pintura de forro (latex PVA fosco)</t>
        </is>
      </c>
      <c r="D137" s="10" t="inlineStr">
        <is>
          <t>m2</t>
        </is>
      </c>
      <c r="E137" s="12" t="n">
        <v>257</v>
      </c>
      <c r="F137" s="13" t="n">
        <v>0</v>
      </c>
      <c r="G137" s="14">
        <f>E137*(1+F137)</f>
        <v/>
      </c>
      <c r="H137" s="15" t="n">
        <v>26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EQP-SPLIT9</t>
        </is>
      </c>
      <c r="B138" s="10" t="inlineStr">
        <is>
          <t>equipamentos</t>
        </is>
      </c>
      <c r="C138" s="11" t="inlineStr">
        <is>
          <t>Split inverter 9.000 BTU/h</t>
        </is>
      </c>
      <c r="D138" s="10" t="inlineStr">
        <is>
          <t>un</t>
        </is>
      </c>
      <c r="E138" s="12" t="n">
        <v>3</v>
      </c>
      <c r="F138" s="13" t="n">
        <v>0</v>
      </c>
      <c r="G138" s="14">
        <f>E138*(1+F138)</f>
        <v/>
      </c>
      <c r="H138" s="15" t="n">
        <v>2100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SPD-CAPTOR</t>
        </is>
      </c>
      <c r="B139" s="10" t="inlineStr">
        <is>
          <t>eletrica</t>
        </is>
      </c>
      <c r="C139" s="11" t="inlineStr">
        <is>
          <t>Captor: cabo de aluminio 70 mm2 no perimetro da cobertura</t>
        </is>
      </c>
      <c r="D139" s="10" t="inlineStr">
        <is>
          <t>m</t>
        </is>
      </c>
      <c r="E139" s="12" t="n">
        <v>160.8</v>
      </c>
      <c r="F139" s="13" t="n">
        <v>0</v>
      </c>
      <c r="G139" s="14">
        <f>E139*(1+F139)</f>
        <v/>
      </c>
      <c r="H139" s="15" t="n">
        <v>38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LUM-DOWNLIGHT18</t>
        </is>
      </c>
      <c r="B140" s="10" t="inlineStr">
        <is>
          <t>eletrica</t>
        </is>
      </c>
      <c r="C140" s="11" t="inlineStr">
        <is>
          <t>Downlight LED embutido 18 W</t>
        </is>
      </c>
      <c r="D140" s="10" t="inlineStr">
        <is>
          <t>un</t>
        </is>
      </c>
      <c r="E140" s="12" t="n">
        <v>45</v>
      </c>
      <c r="F140" s="13" t="n">
        <v>0</v>
      </c>
      <c r="G140" s="14">
        <f>E140*(1+F140)</f>
        <v/>
      </c>
      <c r="H140" s="15" t="n">
        <v>128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EQP-SPLIT30</t>
        </is>
      </c>
      <c r="B141" s="10" t="inlineStr">
        <is>
          <t>equipamentos</t>
        </is>
      </c>
      <c r="C141" s="11" t="inlineStr">
        <is>
          <t>Split inverter 30.000 BTU/h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5400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LUM-DOWNLIGHT24</t>
        </is>
      </c>
      <c r="B142" s="10" t="inlineStr">
        <is>
          <t>eletrica</t>
        </is>
      </c>
      <c r="C142" s="11" t="inlineStr">
        <is>
          <t>Downlight LED embutido 24 W</t>
        </is>
      </c>
      <c r="D142" s="10" t="inlineStr">
        <is>
          <t>un</t>
        </is>
      </c>
      <c r="E142" s="12" t="n">
        <v>31</v>
      </c>
      <c r="F142" s="13" t="n">
        <v>0</v>
      </c>
      <c r="G142" s="14">
        <f>E142*(1+F142)</f>
        <v/>
      </c>
      <c r="H142" s="15" t="n">
        <v>165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MAR-CORT</t>
        </is>
      </c>
      <c r="B143" s="10" t="inlineStr">
        <is>
          <t>marcenaria</t>
        </is>
      </c>
      <c r="C143" s="11" t="inlineStr">
        <is>
          <t>Cortina blackout com trilho, dormitorios</t>
        </is>
      </c>
      <c r="D143" s="10" t="inlineStr">
        <is>
          <t>m</t>
        </is>
      </c>
      <c r="E143" s="12" t="n">
        <v>13.2</v>
      </c>
      <c r="F143" s="13" t="n">
        <v>0</v>
      </c>
      <c r="G143" s="14">
        <f>E143*(1+F143)</f>
        <v/>
      </c>
      <c r="H143" s="15" t="n">
        <v>380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REV-REJ</t>
        </is>
      </c>
      <c r="B144" s="10" t="inlineStr">
        <is>
          <t>revestimento</t>
        </is>
      </c>
      <c r="C144" s="11" t="inlineStr">
        <is>
          <t>Rejunte epoxi/acrilico</t>
        </is>
      </c>
      <c r="D144" s="10" t="inlineStr">
        <is>
          <t>m2</t>
        </is>
      </c>
      <c r="E144" s="12" t="n">
        <v>511.1</v>
      </c>
      <c r="F144" s="13" t="n">
        <v>0</v>
      </c>
      <c r="G144" s="14">
        <f>E144*(1+F144)</f>
        <v/>
      </c>
      <c r="H144" s="15" t="n">
        <v>9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LOU-VASO</t>
        </is>
      </c>
      <c r="B145" s="10" t="inlineStr">
        <is>
          <t>loucas</t>
        </is>
      </c>
      <c r="C145" s="11" t="inlineStr">
        <is>
          <t>Bacia sanitaria com caixa acoplada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780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LUM-LINEAR</t>
        </is>
      </c>
      <c r="B146" s="10" t="inlineStr">
        <is>
          <t>eletrica</t>
        </is>
      </c>
      <c r="C146" s="11" t="inlineStr">
        <is>
          <t>Perfil linear LED 18 W/m com difusor (tarefa)</t>
        </is>
      </c>
      <c r="D146" s="10" t="inlineStr">
        <is>
          <t>m</t>
        </is>
      </c>
      <c r="E146" s="12" t="n">
        <v>15.6</v>
      </c>
      <c r="F146" s="13" t="n">
        <v>0</v>
      </c>
      <c r="G146" s="14">
        <f>E146*(1+F146)</f>
        <v/>
      </c>
      <c r="H146" s="15" t="n">
        <v>210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MET-TORN</t>
        </is>
      </c>
      <c r="B147" s="10" t="inlineStr">
        <is>
          <t>loucas</t>
        </is>
      </c>
      <c r="C147" s="11" t="inlineStr">
        <is>
          <t>Torneira de bancada (lavatorio e cuba)</t>
        </is>
      </c>
      <c r="D147" s="10" t="inlineStr">
        <is>
          <t>un</t>
        </is>
      </c>
      <c r="E147" s="12" t="n">
        <v>9</v>
      </c>
      <c r="F147" s="13" t="n">
        <v>0</v>
      </c>
      <c r="G147" s="14">
        <f>E147*(1+F147)</f>
        <v/>
      </c>
      <c r="H147" s="15" t="n">
        <v>340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SPD-ANEL</t>
        </is>
      </c>
      <c r="B148" s="10" t="inlineStr">
        <is>
          <t>eletrica</t>
        </is>
      </c>
      <c r="C148" s="11" t="inlineStr">
        <is>
          <t>Anel de aterramento: cobre nu 50 mm2 no perimetro do radier</t>
        </is>
      </c>
      <c r="D148" s="10" t="inlineStr">
        <is>
          <t>m</t>
        </is>
      </c>
      <c r="E148" s="12" t="n">
        <v>63.6</v>
      </c>
      <c r="F148" s="13" t="n">
        <v>0</v>
      </c>
      <c r="G148" s="14">
        <f>E148*(1+F148)</f>
        <v/>
      </c>
      <c r="H148" s="15" t="n">
        <v>46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REV-FORRO-ACUST</t>
        </is>
      </c>
      <c r="B149" s="10" t="inlineStr">
        <is>
          <t>revestimento</t>
        </is>
      </c>
      <c r="C149" s="11" t="inlineStr">
        <is>
          <t>Forro absorvente perfurado (alfa 0,70), acabado de fabrica</t>
        </is>
      </c>
      <c r="D149" s="10" t="inlineStr">
        <is>
          <t>m2</t>
        </is>
      </c>
      <c r="E149" s="12" t="n">
        <v>30.2</v>
      </c>
      <c r="F149" s="13" t="n">
        <v>0</v>
      </c>
      <c r="G149" s="14">
        <f>E149*(1+F149)</f>
        <v/>
      </c>
      <c r="H149" s="15" t="n">
        <v>96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MAR-PAINEL</t>
        </is>
      </c>
      <c r="B150" s="10" t="inlineStr">
        <is>
          <t>marcenaria</t>
        </is>
      </c>
      <c r="C150" s="11" t="inlineStr">
        <is>
          <t>Painel ripado de TV</t>
        </is>
      </c>
      <c r="D150" s="10" t="inlineStr">
        <is>
          <t>m2</t>
        </is>
      </c>
      <c r="E150" s="12" t="n">
        <v>6.71</v>
      </c>
      <c r="F150" s="13" t="n">
        <v>0</v>
      </c>
      <c r="G150" s="14">
        <f>E150*(1+F150)</f>
        <v/>
      </c>
      <c r="H150" s="15" t="n">
        <v>420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EQP-PISC</t>
        </is>
      </c>
      <c r="B151" s="10" t="inlineStr">
        <is>
          <t>equipamentos</t>
        </is>
      </c>
      <c r="C151" s="11" t="inlineStr">
        <is>
          <t>Conjunto da piscina: bomba, filtro e tratamento</t>
        </is>
      </c>
      <c r="D151" s="10" t="inlineStr">
        <is>
          <t>cj</t>
        </is>
      </c>
      <c r="E151" s="12" t="n">
        <v>1</v>
      </c>
      <c r="F151" s="13" t="n">
        <v>0</v>
      </c>
      <c r="G151" s="14">
        <f>E151*(1+F151)</f>
        <v/>
      </c>
      <c r="H151" s="15" t="n">
        <v>2800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LOU-LAV</t>
        </is>
      </c>
      <c r="B152" s="10" t="inlineStr">
        <is>
          <t>loucas</t>
        </is>
      </c>
      <c r="C152" s="11" t="inlineStr">
        <is>
          <t>Lavatorio / cuba de banheiro</t>
        </is>
      </c>
      <c r="D152" s="10" t="inlineStr">
        <is>
          <t>un</t>
        </is>
      </c>
      <c r="E152" s="12" t="n">
        <v>6</v>
      </c>
      <c r="F152" s="13" t="n">
        <v>0</v>
      </c>
      <c r="G152" s="14">
        <f>E152*(1+F152)</f>
        <v/>
      </c>
      <c r="H152" s="15" t="n">
        <v>420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EQP-PORTAO</t>
        </is>
      </c>
      <c r="B153" s="10" t="inlineStr">
        <is>
          <t>equipamentos</t>
        </is>
      </c>
      <c r="C153" s="11" t="inlineStr">
        <is>
          <t>Automatizador de portao de correr</t>
        </is>
      </c>
      <c r="D153" s="10" t="inlineStr">
        <is>
          <t>un</t>
        </is>
      </c>
      <c r="E153" s="12" t="n">
        <v>1</v>
      </c>
      <c r="F153" s="13" t="n">
        <v>0</v>
      </c>
      <c r="G153" s="14">
        <f>E153*(1+F153)</f>
        <v/>
      </c>
      <c r="H153" s="15" t="n">
        <v>2400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MET-ACESS</t>
        </is>
      </c>
      <c r="B154" s="10" t="inlineStr">
        <is>
          <t>loucas</t>
        </is>
      </c>
      <c r="C154" s="11" t="inlineStr">
        <is>
          <t>Acessorios (papeleira, cabide, saboneteira, toalheiro)</t>
        </is>
      </c>
      <c r="D154" s="10" t="inlineStr">
        <is>
          <t>un</t>
        </is>
      </c>
      <c r="E154" s="12" t="n">
        <v>28</v>
      </c>
      <c r="F154" s="13" t="n">
        <v>0</v>
      </c>
      <c r="G154" s="14">
        <f>E154*(1+F154)</f>
        <v/>
      </c>
      <c r="H154" s="15" t="n">
        <v>85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ELE-TUG</t>
        </is>
      </c>
      <c r="B155" s="10" t="inlineStr">
        <is>
          <t>eletrica</t>
        </is>
      </c>
      <c r="C155" s="11" t="inlineStr">
        <is>
          <t>Tomada 2P+T 10 A com placa</t>
        </is>
      </c>
      <c r="D155" s="10" t="inlineStr">
        <is>
          <t>un</t>
        </is>
      </c>
      <c r="E155" s="12" t="n">
        <v>82</v>
      </c>
      <c r="F155" s="13" t="n">
        <v>0</v>
      </c>
      <c r="G155" s="14">
        <f>E155*(1+F155)</f>
        <v/>
      </c>
      <c r="H155" s="15" t="n">
        <v>28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PIN-SELADOR</t>
        </is>
      </c>
      <c r="B156" s="10" t="inlineStr">
        <is>
          <t>pintura</t>
        </is>
      </c>
      <c r="C156" s="11" t="inlineStr">
        <is>
          <t>Selador acrilico</t>
        </is>
      </c>
      <c r="D156" s="10" t="inlineStr">
        <is>
          <t>L</t>
        </is>
      </c>
      <c r="E156" s="12" t="n">
        <v>74.8</v>
      </c>
      <c r="F156" s="13" t="n">
        <v>0</v>
      </c>
      <c r="G156" s="14">
        <f>E156*(1+F156)</f>
        <v/>
      </c>
      <c r="H156" s="15" t="n">
        <v>28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LOU-CUBA</t>
        </is>
      </c>
      <c r="B157" s="10" t="inlineStr">
        <is>
          <t>loucas</t>
        </is>
      </c>
      <c r="C157" s="11" t="inlineStr">
        <is>
          <t>Cuba de cozinha / gourmet / lavanderia em inox</t>
        </is>
      </c>
      <c r="D157" s="10" t="inlineStr">
        <is>
          <t>un</t>
        </is>
      </c>
      <c r="E157" s="12" t="n">
        <v>3</v>
      </c>
      <c r="F157" s="13" t="n">
        <v>0</v>
      </c>
      <c r="G157" s="14">
        <f>E157*(1+F157)</f>
        <v/>
      </c>
      <c r="H157" s="15" t="n">
        <v>690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EQP-EXAUST</t>
        </is>
      </c>
      <c r="B158" s="10" t="inlineStr">
        <is>
          <t>equipamentos</t>
        </is>
      </c>
      <c r="C158" s="11" t="inlineStr">
        <is>
          <t>Exaustor / coifa</t>
        </is>
      </c>
      <c r="D158" s="10" t="inlineStr">
        <is>
          <t>un</t>
        </is>
      </c>
      <c r="E158" s="12" t="n">
        <v>7</v>
      </c>
      <c r="F158" s="13" t="n">
        <v>0</v>
      </c>
      <c r="G158" s="14">
        <f>E158*(1+F158)</f>
        <v/>
      </c>
      <c r="H158" s="15" t="n">
        <v>260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FV-HOMOLOG</t>
        </is>
      </c>
      <c r="B159" s="10" t="inlineStr">
        <is>
          <t>eletrica</t>
        </is>
      </c>
      <c r="C159" s="11" t="inlineStr">
        <is>
          <t>Projeto e homologacao na concessionaria (REN 1.000)</t>
        </is>
      </c>
      <c r="D159" s="10" t="inlineStr">
        <is>
          <t>un</t>
        </is>
      </c>
      <c r="E159" s="12" t="n">
        <v>1</v>
      </c>
      <c r="F159" s="13" t="n">
        <v>0</v>
      </c>
      <c r="G159" s="14">
        <f>E159*(1+F159)</f>
        <v/>
      </c>
      <c r="H159" s="15" t="n">
        <v>1800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LUM-SOBREPOR24</t>
        </is>
      </c>
      <c r="B160" s="10" t="inlineStr">
        <is>
          <t>eletrica</t>
        </is>
      </c>
      <c r="C160" s="11" t="inlineStr">
        <is>
          <t>Plafon LED de sobrepor 24 W</t>
        </is>
      </c>
      <c r="D160" s="10" t="inlineStr">
        <is>
          <t>un</t>
        </is>
      </c>
      <c r="E160" s="12" t="n">
        <v>10</v>
      </c>
      <c r="F160" s="13" t="n">
        <v>0</v>
      </c>
      <c r="G160" s="14">
        <f>E160*(1+F160)</f>
        <v/>
      </c>
      <c r="H160" s="15" t="n">
        <v>175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REV-NICHO</t>
        </is>
      </c>
      <c r="B161" s="10" t="inlineStr">
        <is>
          <t>loucas</t>
        </is>
      </c>
      <c r="C161" s="11" t="inlineStr">
        <is>
          <t>Nicho de box 300 x 900 mm entre montantes (RU + ceramica)</t>
        </is>
      </c>
      <c r="D161" s="10" t="inlineStr">
        <is>
          <t>un</t>
        </is>
      </c>
      <c r="E161" s="12" t="n">
        <v>4</v>
      </c>
      <c r="F161" s="13" t="n">
        <v>0</v>
      </c>
      <c r="G161" s="14">
        <f>E161*(1+F161)</f>
        <v/>
      </c>
      <c r="H161" s="15" t="n">
        <v>420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MET-REG</t>
        </is>
      </c>
      <c r="B162" s="10" t="inlineStr">
        <is>
          <t>loucas</t>
        </is>
      </c>
      <c r="C162" s="11" t="inlineStr">
        <is>
          <t>Registro de gaveta e de pressao</t>
        </is>
      </c>
      <c r="D162" s="10" t="inlineStr">
        <is>
          <t>un</t>
        </is>
      </c>
      <c r="E162" s="12" t="n">
        <v>14</v>
      </c>
      <c r="F162" s="13" t="n">
        <v>0</v>
      </c>
      <c r="G162" s="14">
        <f>E162*(1+F162)</f>
        <v/>
      </c>
      <c r="H162" s="15" t="n">
        <v>95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MET-CHUV</t>
        </is>
      </c>
      <c r="B163" s="10" t="inlineStr">
        <is>
          <t>loucas</t>
        </is>
      </c>
      <c r="C163" s="11" t="inlineStr">
        <is>
          <t>Chuveiro eletrico 220 V</t>
        </is>
      </c>
      <c r="D163" s="10" t="inlineStr">
        <is>
          <t>un</t>
        </is>
      </c>
      <c r="E163" s="12" t="n">
        <v>4</v>
      </c>
      <c r="F163" s="13" t="n">
        <v>0</v>
      </c>
      <c r="G163" s="14">
        <f>E163*(1+F163)</f>
        <v/>
      </c>
      <c r="H163" s="15" t="n">
        <v>320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ELE-DR</t>
        </is>
      </c>
      <c r="B164" s="10" t="inlineStr">
        <is>
          <t>eletrica</t>
        </is>
      </c>
      <c r="C164" s="11" t="inlineStr">
        <is>
          <t>Disjuntor diferencial residual 30 mA</t>
        </is>
      </c>
      <c r="D164" s="10" t="inlineStr">
        <is>
          <t>un</t>
        </is>
      </c>
      <c r="E164" s="12" t="n">
        <v>6</v>
      </c>
      <c r="F164" s="13" t="n">
        <v>0</v>
      </c>
      <c r="G164" s="14">
        <f>E164*(1+F164)</f>
        <v/>
      </c>
      <c r="H164" s="15" t="n">
        <v>180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MET-DUCHA</t>
        </is>
      </c>
      <c r="B165" s="10" t="inlineStr">
        <is>
          <t>loucas</t>
        </is>
      </c>
      <c r="C165" s="11" t="inlineStr">
        <is>
          <t>Ducha higienica com registro</t>
        </is>
      </c>
      <c r="D165" s="10" t="inlineStr">
        <is>
          <t>un</t>
        </is>
      </c>
      <c r="E165" s="12" t="n">
        <v>5</v>
      </c>
      <c r="F165" s="13" t="n">
        <v>0</v>
      </c>
      <c r="G165" s="14">
        <f>E165*(1+F165)</f>
        <v/>
      </c>
      <c r="H165" s="15" t="n">
        <v>210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SPD-DESCIDA</t>
        </is>
      </c>
      <c r="B166" s="10" t="inlineStr">
        <is>
          <t>eletrica</t>
        </is>
      </c>
      <c r="C166" s="11" t="inlineStr">
        <is>
          <t>Descida natural pela estrutura LSF: conector de teste e ligacao</t>
        </is>
      </c>
      <c r="D166" s="10" t="inlineStr">
        <is>
          <t>un</t>
        </is>
      </c>
      <c r="E166" s="12" t="n">
        <v>4</v>
      </c>
      <c r="F166" s="13" t="n">
        <v>0</v>
      </c>
      <c r="G166" s="14">
        <f>E166*(1+F166)</f>
        <v/>
      </c>
      <c r="H166" s="15" t="n">
        <v>260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LUM-ARANDELA</t>
        </is>
      </c>
      <c r="B167" s="10" t="inlineStr">
        <is>
          <t>eletrica</t>
        </is>
      </c>
      <c r="C167" s="11" t="inlineStr">
        <is>
          <t>Arandela LED IP44 de espelho, 8 W</t>
        </is>
      </c>
      <c r="D167" s="10" t="inlineStr">
        <is>
          <t>un</t>
        </is>
      </c>
      <c r="E167" s="12" t="n">
        <v>6</v>
      </c>
      <c r="F167" s="13" t="n">
        <v>0</v>
      </c>
      <c r="G167" s="14">
        <f>E167*(1+F167)</f>
        <v/>
      </c>
      <c r="H167" s="15" t="n">
        <v>160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SPD-DPS1</t>
        </is>
      </c>
      <c r="B168" s="10" t="inlineStr">
        <is>
          <t>eletrica</t>
        </is>
      </c>
      <c r="C168" s="11" t="inlineStr">
        <is>
          <t>DPS classe I, 12,5 kA, 3F+N, na entrada</t>
        </is>
      </c>
      <c r="D168" s="10" t="inlineStr">
        <is>
          <t>un</t>
        </is>
      </c>
      <c r="E168" s="12" t="n">
        <v>1</v>
      </c>
      <c r="F168" s="13" t="n">
        <v>0</v>
      </c>
      <c r="G168" s="14">
        <f>E168*(1+F168)</f>
        <v/>
      </c>
      <c r="H168" s="15" t="n">
        <v>890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MET-DUCHA-TETO</t>
        </is>
      </c>
      <c r="B169" s="10" t="inlineStr">
        <is>
          <t>loucas</t>
        </is>
      </c>
      <c r="C169" s="11" t="inlineStr">
        <is>
          <t>Ducha de teto 250 mm com desviador (box &gt;= 1.400)</t>
        </is>
      </c>
      <c r="D169" s="10" t="inlineStr">
        <is>
          <t>un</t>
        </is>
      </c>
      <c r="E169" s="12" t="n">
        <v>1</v>
      </c>
      <c r="F169" s="13" t="n">
        <v>0</v>
      </c>
      <c r="G169" s="14">
        <f>E169*(1+F169)</f>
        <v/>
      </c>
      <c r="H169" s="15" t="n">
        <v>890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LUM-PENDENTE40</t>
        </is>
      </c>
      <c r="B170" s="10" t="inlineStr">
        <is>
          <t>eletrica</t>
        </is>
      </c>
      <c r="C170" s="11" t="inlineStr">
        <is>
          <t>Pendente LED de pe-direito duplo, 40 W</t>
        </is>
      </c>
      <c r="D170" s="10" t="inlineStr">
        <is>
          <t>un</t>
        </is>
      </c>
      <c r="E170" s="12" t="n">
        <v>2</v>
      </c>
      <c r="F170" s="13" t="n">
        <v>0</v>
      </c>
      <c r="G170" s="14">
        <f>E170*(1+F170)</f>
        <v/>
      </c>
      <c r="H170" s="15" t="n">
        <v>420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ELE-INT</t>
        </is>
      </c>
      <c r="B171" s="10" t="inlineStr">
        <is>
          <t>eletrica</t>
        </is>
      </c>
      <c r="C171" s="11" t="inlineStr">
        <is>
          <t>Interruptor simples e paralelo com placa</t>
        </is>
      </c>
      <c r="D171" s="10" t="inlineStr">
        <is>
          <t>un</t>
        </is>
      </c>
      <c r="E171" s="12" t="n">
        <v>25</v>
      </c>
      <c r="F171" s="13" t="n">
        <v>0</v>
      </c>
      <c r="G171" s="14">
        <f>E171*(1+F171)</f>
        <v/>
      </c>
      <c r="H171" s="15" t="n">
        <v>32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LOU-ASSENTO</t>
        </is>
      </c>
      <c r="B172" s="10" t="inlineStr">
        <is>
          <t>loucas</t>
        </is>
      </c>
      <c r="C172" s="11" t="inlineStr">
        <is>
          <t>Assento sanitario com amortecedor</t>
        </is>
      </c>
      <c r="D172" s="10" t="inlineStr">
        <is>
          <t>un</t>
        </is>
      </c>
      <c r="E172" s="12" t="n">
        <v>5</v>
      </c>
      <c r="F172" s="13" t="n">
        <v>0</v>
      </c>
      <c r="G172" s="14">
        <f>E172*(1+F172)</f>
        <v/>
      </c>
      <c r="H172" s="15" t="n">
        <v>140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9" t="inlineStr">
        <is>
          <t>ELE-TUE</t>
        </is>
      </c>
      <c r="B173" s="10" t="inlineStr">
        <is>
          <t>eletrica</t>
        </is>
      </c>
      <c r="C173" s="11" t="inlineStr">
        <is>
          <t>Tomada de uso especifico 20 A com placa</t>
        </is>
      </c>
      <c r="D173" s="10" t="inlineStr">
        <is>
          <t>un</t>
        </is>
      </c>
      <c r="E173" s="12" t="n">
        <v>25</v>
      </c>
      <c r="F173" s="13" t="n">
        <v>0</v>
      </c>
      <c r="G173" s="14">
        <f>E173*(1+F173)</f>
        <v/>
      </c>
      <c r="H173" s="15" t="n">
        <v>28</v>
      </c>
      <c r="I173" s="16">
        <f>G173*H173</f>
        <v/>
      </c>
      <c r="J173" s="17" t="n"/>
      <c r="K173" s="17" t="n"/>
      <c r="L173" s="17" t="n"/>
      <c r="M173" s="17" t="n"/>
      <c r="N173" s="17" t="n"/>
      <c r="O173" s="18">
        <f>COUNT(J173:N173)</f>
        <v/>
      </c>
      <c r="P173" s="19">
        <f>IF(O173=0,"",MIN(J173:N173))</f>
        <v/>
      </c>
      <c r="Q173" s="10">
        <f>IF(O173=0,"",INDEX($J$3:$N$3,MATCH(P173,J173:N173,0)))</f>
        <v/>
      </c>
      <c r="R173" s="16">
        <f>IF(O173=0,"",AVERAGE(J173:N173))</f>
        <v/>
      </c>
      <c r="S173" s="20">
        <f>IF(O173&lt;2,"",MAX(J173:N173)/P173)</f>
        <v/>
      </c>
      <c r="T173" s="19">
        <f>IF(O173=0,"",G173*P173)</f>
        <v/>
      </c>
      <c r="U173" s="21">
        <f>IF(OR(O173=0,I173=0),"",T173/I173-1)</f>
        <v/>
      </c>
      <c r="V173" s="18">
        <f>IF(O173=0,"PENDENTE",IF(O173&gt;=5,"COMPLETO","PARCIAL"))</f>
        <v/>
      </c>
    </row>
    <row r="174">
      <c r="A174" s="9" t="inlineStr">
        <is>
          <t>FV-STRINGBOX</t>
        </is>
      </c>
      <c r="B174" s="10" t="inlineStr">
        <is>
          <t>eletrica</t>
        </is>
      </c>
      <c r="C174" s="11" t="inlineStr">
        <is>
          <t>String box CC com DPS e seccionadora</t>
        </is>
      </c>
      <c r="D174" s="10" t="inlineStr">
        <is>
          <t>un</t>
        </is>
      </c>
      <c r="E174" s="12" t="n">
        <v>1</v>
      </c>
      <c r="F174" s="13" t="n">
        <v>0</v>
      </c>
      <c r="G174" s="14">
        <f>E174*(1+F174)</f>
        <v/>
      </c>
      <c r="H174" s="15" t="n">
        <v>680</v>
      </c>
      <c r="I174" s="16">
        <f>G174*H174</f>
        <v/>
      </c>
      <c r="J174" s="17" t="n"/>
      <c r="K174" s="17" t="n"/>
      <c r="L174" s="17" t="n"/>
      <c r="M174" s="17" t="n"/>
      <c r="N174" s="17" t="n"/>
      <c r="O174" s="18">
        <f>COUNT(J174:N174)</f>
        <v/>
      </c>
      <c r="P174" s="19">
        <f>IF(O174=0,"",MIN(J174:N174))</f>
        <v/>
      </c>
      <c r="Q174" s="10">
        <f>IF(O174=0,"",INDEX($J$3:$N$3,MATCH(P174,J174:N174,0)))</f>
        <v/>
      </c>
      <c r="R174" s="16">
        <f>IF(O174=0,"",AVERAGE(J174:N174))</f>
        <v/>
      </c>
      <c r="S174" s="20">
        <f>IF(O174&lt;2,"",MAX(J174:N174)/P174)</f>
        <v/>
      </c>
      <c r="T174" s="19">
        <f>IF(O174=0,"",G174*P174)</f>
        <v/>
      </c>
      <c r="U174" s="21">
        <f>IF(OR(O174=0,I174=0),"",T174/I174-1)</f>
        <v/>
      </c>
      <c r="V174" s="18">
        <f>IF(O174=0,"PENDENTE",IF(O174&gt;=5,"COMPLETO","PARCIAL"))</f>
        <v/>
      </c>
    </row>
    <row r="175">
      <c r="A175" s="9" t="inlineStr">
        <is>
          <t>SPD-ENSAIO</t>
        </is>
      </c>
      <c r="B175" s="10" t="inlineStr">
        <is>
          <t>eletrica</t>
        </is>
      </c>
      <c r="C175" s="11" t="inlineStr">
        <is>
          <t>Ensaio de continuidade e resistencia de aterramento</t>
        </is>
      </c>
      <c r="D175" s="10" t="inlineStr">
        <is>
          <t>un</t>
        </is>
      </c>
      <c r="E175" s="12" t="n">
        <v>1</v>
      </c>
      <c r="F175" s="13" t="n">
        <v>0</v>
      </c>
      <c r="G175" s="14">
        <f>E175*(1+F175)</f>
        <v/>
      </c>
      <c r="H175" s="15" t="n">
        <v>650</v>
      </c>
      <c r="I175" s="16">
        <f>G175*H175</f>
        <v/>
      </c>
      <c r="J175" s="17" t="n"/>
      <c r="K175" s="17" t="n"/>
      <c r="L175" s="17" t="n"/>
      <c r="M175" s="17" t="n"/>
      <c r="N175" s="17" t="n"/>
      <c r="O175" s="18">
        <f>COUNT(J175:N175)</f>
        <v/>
      </c>
      <c r="P175" s="19">
        <f>IF(O175=0,"",MIN(J175:N175))</f>
        <v/>
      </c>
      <c r="Q175" s="10">
        <f>IF(O175=0,"",INDEX($J$3:$N$3,MATCH(P175,J175:N175,0)))</f>
        <v/>
      </c>
      <c r="R175" s="16">
        <f>IF(O175=0,"",AVERAGE(J175:N175))</f>
        <v/>
      </c>
      <c r="S175" s="20">
        <f>IF(O175&lt;2,"",MAX(J175:N175)/P175)</f>
        <v/>
      </c>
      <c r="T175" s="19">
        <f>IF(O175=0,"",G175*P175)</f>
        <v/>
      </c>
      <c r="U175" s="21">
        <f>IF(OR(O175=0,I175=0),"",T175/I175-1)</f>
        <v/>
      </c>
      <c r="V175" s="18">
        <f>IF(O175=0,"PENDENTE",IF(O175&gt;=5,"COMPLETO","PARCIAL"))</f>
        <v/>
      </c>
    </row>
    <row r="176">
      <c r="A176" s="9" t="inlineStr">
        <is>
          <t>FV-CABO</t>
        </is>
      </c>
      <c r="B176" s="10" t="inlineStr">
        <is>
          <t>eletrica</t>
        </is>
      </c>
      <c r="C176" s="11" t="inlineStr">
        <is>
          <t>Cabo solar 6 mm2 e eletroduto ate o inversor</t>
        </is>
      </c>
      <c r="D176" s="10" t="inlineStr">
        <is>
          <t>m</t>
        </is>
      </c>
      <c r="E176" s="12" t="n">
        <v>46.3</v>
      </c>
      <c r="F176" s="13" t="n">
        <v>0</v>
      </c>
      <c r="G176" s="14">
        <f>E176*(1+F176)</f>
        <v/>
      </c>
      <c r="H176" s="15" t="n">
        <v>14</v>
      </c>
      <c r="I176" s="16">
        <f>G176*H176</f>
        <v/>
      </c>
      <c r="J176" s="17" t="n"/>
      <c r="K176" s="17" t="n"/>
      <c r="L176" s="17" t="n"/>
      <c r="M176" s="17" t="n"/>
      <c r="N176" s="17" t="n"/>
      <c r="O176" s="18">
        <f>COUNT(J176:N176)</f>
        <v/>
      </c>
      <c r="P176" s="19">
        <f>IF(O176=0,"",MIN(J176:N176))</f>
        <v/>
      </c>
      <c r="Q176" s="10">
        <f>IF(O176=0,"",INDEX($J$3:$N$3,MATCH(P176,J176:N176,0)))</f>
        <v/>
      </c>
      <c r="R176" s="16">
        <f>IF(O176=0,"",AVERAGE(J176:N176))</f>
        <v/>
      </c>
      <c r="S176" s="20">
        <f>IF(O176&lt;2,"",MAX(J176:N176)/P176)</f>
        <v/>
      </c>
      <c r="T176" s="19">
        <f>IF(O176=0,"",G176*P176)</f>
        <v/>
      </c>
      <c r="U176" s="21">
        <f>IF(OR(O176=0,I176=0),"",T176/I176-1)</f>
        <v/>
      </c>
      <c r="V176" s="18">
        <f>IF(O176=0,"PENDENTE",IF(O176&gt;=5,"COMPLETO","PARCIAL"))</f>
        <v/>
      </c>
    </row>
    <row r="177">
      <c r="A177" s="9" t="inlineStr">
        <is>
          <t>LOU-TANQUE</t>
        </is>
      </c>
      <c r="B177" s="10" t="inlineStr">
        <is>
          <t>loucas</t>
        </is>
      </c>
      <c r="C177" s="11" t="inlineStr">
        <is>
          <t>Tanque de lavanderia</t>
        </is>
      </c>
      <c r="D177" s="10" t="inlineStr">
        <is>
          <t>un</t>
        </is>
      </c>
      <c r="E177" s="12" t="n">
        <v>2</v>
      </c>
      <c r="F177" s="13" t="n">
        <v>0</v>
      </c>
      <c r="G177" s="14">
        <f>E177*(1+F177)</f>
        <v/>
      </c>
      <c r="H177" s="15" t="n">
        <v>320</v>
      </c>
      <c r="I177" s="16">
        <f>G177*H177</f>
        <v/>
      </c>
      <c r="J177" s="17" t="n"/>
      <c r="K177" s="17" t="n"/>
      <c r="L177" s="17" t="n"/>
      <c r="M177" s="17" t="n"/>
      <c r="N177" s="17" t="n"/>
      <c r="O177" s="18">
        <f>COUNT(J177:N177)</f>
        <v/>
      </c>
      <c r="P177" s="19">
        <f>IF(O177=0,"",MIN(J177:N177))</f>
        <v/>
      </c>
      <c r="Q177" s="10">
        <f>IF(O177=0,"",INDEX($J$3:$N$3,MATCH(P177,J177:N177,0)))</f>
        <v/>
      </c>
      <c r="R177" s="16">
        <f>IF(O177=0,"",AVERAGE(J177:N177))</f>
        <v/>
      </c>
      <c r="S177" s="20">
        <f>IF(O177&lt;2,"",MAX(J177:N177)/P177)</f>
        <v/>
      </c>
      <c r="T177" s="19">
        <f>IF(O177=0,"",G177*P177)</f>
        <v/>
      </c>
      <c r="U177" s="21">
        <f>IF(OR(O177=0,I177=0),"",T177/I177-1)</f>
        <v/>
      </c>
      <c r="V177" s="18">
        <f>IF(O177=0,"PENDENTE",IF(O177&gt;=5,"COMPLETO","PARCIAL"))</f>
        <v/>
      </c>
    </row>
    <row r="178">
      <c r="A178" s="9" t="inlineStr">
        <is>
          <t>MET-TORN-T</t>
        </is>
      </c>
      <c r="B178" s="10" t="inlineStr">
        <is>
          <t>loucas</t>
        </is>
      </c>
      <c r="C178" s="11" t="inlineStr">
        <is>
          <t>Torneira de tanque e de jardim</t>
        </is>
      </c>
      <c r="D178" s="10" t="inlineStr">
        <is>
          <t>un</t>
        </is>
      </c>
      <c r="E178" s="12" t="n">
        <v>4</v>
      </c>
      <c r="F178" s="13" t="n">
        <v>0</v>
      </c>
      <c r="G178" s="14">
        <f>E178*(1+F178)</f>
        <v/>
      </c>
      <c r="H178" s="15" t="n">
        <v>160</v>
      </c>
      <c r="I178" s="16">
        <f>G178*H178</f>
        <v/>
      </c>
      <c r="J178" s="17" t="n"/>
      <c r="K178" s="17" t="n"/>
      <c r="L178" s="17" t="n"/>
      <c r="M178" s="17" t="n"/>
      <c r="N178" s="17" t="n"/>
      <c r="O178" s="18">
        <f>COUNT(J178:N178)</f>
        <v/>
      </c>
      <c r="P178" s="19">
        <f>IF(O178=0,"",MIN(J178:N178))</f>
        <v/>
      </c>
      <c r="Q178" s="10">
        <f>IF(O178=0,"",INDEX($J$3:$N$3,MATCH(P178,J178:N178,0)))</f>
        <v/>
      </c>
      <c r="R178" s="16">
        <f>IF(O178=0,"",AVERAGE(J178:N178))</f>
        <v/>
      </c>
      <c r="S178" s="20">
        <f>IF(O178&lt;2,"",MAX(J178:N178)/P178)</f>
        <v/>
      </c>
      <c r="T178" s="19">
        <f>IF(O178=0,"",G178*P178)</f>
        <v/>
      </c>
      <c r="U178" s="21">
        <f>IF(OR(O178=0,I178=0),"",T178/I178-1)</f>
        <v/>
      </c>
      <c r="V178" s="18">
        <f>IF(O178=0,"PENDENTE",IF(O178&gt;=5,"COMPLETO","PARCIAL"))</f>
        <v/>
      </c>
    </row>
    <row r="179">
      <c r="A179" s="9" t="inlineStr">
        <is>
          <t>MET-ENGATE</t>
        </is>
      </c>
      <c r="B179" s="10" t="inlineStr">
        <is>
          <t>loucas</t>
        </is>
      </c>
      <c r="C179" s="11" t="inlineStr">
        <is>
          <t>Engate flexivel</t>
        </is>
      </c>
      <c r="D179" s="10" t="inlineStr">
        <is>
          <t>un</t>
        </is>
      </c>
      <c r="E179" s="12" t="n">
        <v>27</v>
      </c>
      <c r="F179" s="13" t="n">
        <v>0</v>
      </c>
      <c r="G179" s="14">
        <f>E179*(1+F179)</f>
        <v/>
      </c>
      <c r="H179" s="15" t="n">
        <v>22</v>
      </c>
      <c r="I179" s="16">
        <f>G179*H179</f>
        <v/>
      </c>
      <c r="J179" s="17" t="n"/>
      <c r="K179" s="17" t="n"/>
      <c r="L179" s="17" t="n"/>
      <c r="M179" s="17" t="n"/>
      <c r="N179" s="17" t="n"/>
      <c r="O179" s="18">
        <f>COUNT(J179:N179)</f>
        <v/>
      </c>
      <c r="P179" s="19">
        <f>IF(O179=0,"",MIN(J179:N179))</f>
        <v/>
      </c>
      <c r="Q179" s="10">
        <f>IF(O179=0,"",INDEX($J$3:$N$3,MATCH(P179,J179:N179,0)))</f>
        <v/>
      </c>
      <c r="R179" s="16">
        <f>IF(O179=0,"",AVERAGE(J179:N179))</f>
        <v/>
      </c>
      <c r="S179" s="20">
        <f>IF(O179&lt;2,"",MAX(J179:N179)/P179)</f>
        <v/>
      </c>
      <c r="T179" s="19">
        <f>IF(O179=0,"",G179*P179)</f>
        <v/>
      </c>
      <c r="U179" s="21">
        <f>IF(OR(O179=0,I179=0),"",T179/I179-1)</f>
        <v/>
      </c>
      <c r="V179" s="18">
        <f>IF(O179=0,"PENDENTE",IF(O179&gt;=5,"COMPLETO","PARCIAL"))</f>
        <v/>
      </c>
    </row>
    <row r="180">
      <c r="A180" s="9" t="inlineStr">
        <is>
          <t>LUM-BALIZADOR</t>
        </is>
      </c>
      <c r="B180" s="10" t="inlineStr">
        <is>
          <t>eletrica</t>
        </is>
      </c>
      <c r="C180" s="11" t="inlineStr">
        <is>
          <t>Balizador LED de escada, 3 W</t>
        </is>
      </c>
      <c r="D180" s="10" t="inlineStr">
        <is>
          <t>un</t>
        </is>
      </c>
      <c r="E180" s="12" t="n">
        <v>6</v>
      </c>
      <c r="F180" s="13" t="n">
        <v>0</v>
      </c>
      <c r="G180" s="14">
        <f>E180*(1+F180)</f>
        <v/>
      </c>
      <c r="H180" s="15" t="n">
        <v>85</v>
      </c>
      <c r="I180" s="16">
        <f>G180*H180</f>
        <v/>
      </c>
      <c r="J180" s="17" t="n"/>
      <c r="K180" s="17" t="n"/>
      <c r="L180" s="17" t="n"/>
      <c r="M180" s="17" t="n"/>
      <c r="N180" s="17" t="n"/>
      <c r="O180" s="18">
        <f>COUNT(J180:N180)</f>
        <v/>
      </c>
      <c r="P180" s="19">
        <f>IF(O180=0,"",MIN(J180:N180))</f>
        <v/>
      </c>
      <c r="Q180" s="10">
        <f>IF(O180=0,"",INDEX($J$3:$N$3,MATCH(P180,J180:N180,0)))</f>
        <v/>
      </c>
      <c r="R180" s="16">
        <f>IF(O180=0,"",AVERAGE(J180:N180))</f>
        <v/>
      </c>
      <c r="S180" s="20">
        <f>IF(O180&lt;2,"",MAX(J180:N180)/P180)</f>
        <v/>
      </c>
      <c r="T180" s="19">
        <f>IF(O180=0,"",G180*P180)</f>
        <v/>
      </c>
      <c r="U180" s="21">
        <f>IF(OR(O180=0,I180=0),"",T180/I180-1)</f>
        <v/>
      </c>
      <c r="V180" s="18">
        <f>IF(O180=0,"PENDENTE",IF(O180&gt;=5,"COMPLETO","PARCIAL"))</f>
        <v/>
      </c>
    </row>
    <row r="181">
      <c r="A181" s="9" t="inlineStr">
        <is>
          <t>MET-VALV</t>
        </is>
      </c>
      <c r="B181" s="10" t="inlineStr">
        <is>
          <t>loucas</t>
        </is>
      </c>
      <c r="C181" s="11" t="inlineStr">
        <is>
          <t>Valvula de escoamento e de lavatorio</t>
        </is>
      </c>
      <c r="D181" s="10" t="inlineStr">
        <is>
          <t>un</t>
        </is>
      </c>
      <c r="E181" s="12" t="n">
        <v>11</v>
      </c>
      <c r="F181" s="13" t="n">
        <v>0</v>
      </c>
      <c r="G181" s="14">
        <f>E181*(1+F181)</f>
        <v/>
      </c>
      <c r="H181" s="15" t="n">
        <v>45</v>
      </c>
      <c r="I181" s="16">
        <f>G181*H181</f>
        <v/>
      </c>
      <c r="J181" s="17" t="n"/>
      <c r="K181" s="17" t="n"/>
      <c r="L181" s="17" t="n"/>
      <c r="M181" s="17" t="n"/>
      <c r="N181" s="17" t="n"/>
      <c r="O181" s="18">
        <f>COUNT(J181:N181)</f>
        <v/>
      </c>
      <c r="P181" s="19">
        <f>IF(O181=0,"",MIN(J181:N181))</f>
        <v/>
      </c>
      <c r="Q181" s="10">
        <f>IF(O181=0,"",INDEX($J$3:$N$3,MATCH(P181,J181:N181,0)))</f>
        <v/>
      </c>
      <c r="R181" s="16">
        <f>IF(O181=0,"",AVERAGE(J181:N181))</f>
        <v/>
      </c>
      <c r="S181" s="20">
        <f>IF(O181&lt;2,"",MAX(J181:N181)/P181)</f>
        <v/>
      </c>
      <c r="T181" s="19">
        <f>IF(O181=0,"",G181*P181)</f>
        <v/>
      </c>
      <c r="U181" s="21">
        <f>IF(OR(O181=0,I181=0),"",T181/I181-1)</f>
        <v/>
      </c>
      <c r="V181" s="18">
        <f>IF(O181=0,"PENDENTE",IF(O181&gt;=5,"COMPLETO","PARCIAL"))</f>
        <v/>
      </c>
    </row>
    <row r="182">
      <c r="A182" s="9" t="inlineStr">
        <is>
          <t>SPD-BEP</t>
        </is>
      </c>
      <c r="B182" s="10" t="inlineStr">
        <is>
          <t>eletrica</t>
        </is>
      </c>
      <c r="C182" s="11" t="inlineStr">
        <is>
          <t>Barramento de equipotencializacao principal</t>
        </is>
      </c>
      <c r="D182" s="10" t="inlineStr">
        <is>
          <t>un</t>
        </is>
      </c>
      <c r="E182" s="12" t="n">
        <v>1</v>
      </c>
      <c r="F182" s="13" t="n">
        <v>0</v>
      </c>
      <c r="G182" s="14">
        <f>E182*(1+F182)</f>
        <v/>
      </c>
      <c r="H182" s="15" t="n">
        <v>420</v>
      </c>
      <c r="I182" s="16">
        <f>G182*H182</f>
        <v/>
      </c>
      <c r="J182" s="17" t="n"/>
      <c r="K182" s="17" t="n"/>
      <c r="L182" s="17" t="n"/>
      <c r="M182" s="17" t="n"/>
      <c r="N182" s="17" t="n"/>
      <c r="O182" s="18">
        <f>COUNT(J182:N182)</f>
        <v/>
      </c>
      <c r="P182" s="19">
        <f>IF(O182=0,"",MIN(J182:N182))</f>
        <v/>
      </c>
      <c r="Q182" s="10">
        <f>IF(O182=0,"",INDEX($J$3:$N$3,MATCH(P182,J182:N182,0)))</f>
        <v/>
      </c>
      <c r="R182" s="16">
        <f>IF(O182=0,"",AVERAGE(J182:N182))</f>
        <v/>
      </c>
      <c r="S182" s="20">
        <f>IF(O182&lt;2,"",MAX(J182:N182)/P182)</f>
        <v/>
      </c>
      <c r="T182" s="19">
        <f>IF(O182=0,"",G182*P182)</f>
        <v/>
      </c>
      <c r="U182" s="21">
        <f>IF(OR(O182=0,I182=0),"",T182/I182-1)</f>
        <v/>
      </c>
      <c r="V182" s="18">
        <f>IF(O182=0,"PENDENTE",IF(O182&gt;=5,"COMPLETO","PARCIAL"))</f>
        <v/>
      </c>
    </row>
    <row r="183">
      <c r="A183" s="9" t="inlineStr">
        <is>
          <t>MET-SIFAO</t>
        </is>
      </c>
      <c r="B183" s="10" t="inlineStr">
        <is>
          <t>loucas</t>
        </is>
      </c>
      <c r="C183" s="11" t="inlineStr">
        <is>
          <t>Sifao flexivel</t>
        </is>
      </c>
      <c r="D183" s="10" t="inlineStr">
        <is>
          <t>un</t>
        </is>
      </c>
      <c r="E183" s="12" t="n">
        <v>11</v>
      </c>
      <c r="F183" s="13" t="n">
        <v>0</v>
      </c>
      <c r="G183" s="14">
        <f>E183*(1+F183)</f>
        <v/>
      </c>
      <c r="H183" s="15" t="n">
        <v>38</v>
      </c>
      <c r="I183" s="16">
        <f>G183*H183</f>
        <v/>
      </c>
      <c r="J183" s="17" t="n"/>
      <c r="K183" s="17" t="n"/>
      <c r="L183" s="17" t="n"/>
      <c r="M183" s="17" t="n"/>
      <c r="N183" s="17" t="n"/>
      <c r="O183" s="18">
        <f>COUNT(J183:N183)</f>
        <v/>
      </c>
      <c r="P183" s="19">
        <f>IF(O183=0,"",MIN(J183:N183))</f>
        <v/>
      </c>
      <c r="Q183" s="10">
        <f>IF(O183=0,"",INDEX($J$3:$N$3,MATCH(P183,J183:N183,0)))</f>
        <v/>
      </c>
      <c r="R183" s="16">
        <f>IF(O183=0,"",AVERAGE(J183:N183))</f>
        <v/>
      </c>
      <c r="S183" s="20">
        <f>IF(O183&lt;2,"",MAX(J183:N183)/P183)</f>
        <v/>
      </c>
      <c r="T183" s="19">
        <f>IF(O183=0,"",G183*P183)</f>
        <v/>
      </c>
      <c r="U183" s="21">
        <f>IF(OR(O183=0,I183=0),"",T183/I183-1)</f>
        <v/>
      </c>
      <c r="V183" s="18">
        <f>IF(O183=0,"PENDENTE",IF(O183&gt;=5,"COMPLETO","PARCIAL"))</f>
        <v/>
      </c>
    </row>
    <row r="184">
      <c r="A184" s="9" t="inlineStr">
        <is>
          <t>SPD-HASTE</t>
        </is>
      </c>
      <c r="B184" s="10" t="inlineStr">
        <is>
          <t>eletrica</t>
        </is>
      </c>
      <c r="C184" s="11" t="inlineStr">
        <is>
          <t>Haste de aterramento 5/8 x 2.400 mm</t>
        </is>
      </c>
      <c r="D184" s="10" t="inlineStr">
        <is>
          <t>un</t>
        </is>
      </c>
      <c r="E184" s="12" t="n">
        <v>4</v>
      </c>
      <c r="F184" s="13" t="n">
        <v>0</v>
      </c>
      <c r="G184" s="14">
        <f>E184*(1+F184)</f>
        <v/>
      </c>
      <c r="H184" s="15" t="n">
        <v>95</v>
      </c>
      <c r="I184" s="16">
        <f>G184*H184</f>
        <v/>
      </c>
      <c r="J184" s="17" t="n"/>
      <c r="K184" s="17" t="n"/>
      <c r="L184" s="17" t="n"/>
      <c r="M184" s="17" t="n"/>
      <c r="N184" s="17" t="n"/>
      <c r="O184" s="18">
        <f>COUNT(J184:N184)</f>
        <v/>
      </c>
      <c r="P184" s="19">
        <f>IF(O184=0,"",MIN(J184:N184))</f>
        <v/>
      </c>
      <c r="Q184" s="10">
        <f>IF(O184=0,"",INDEX($J$3:$N$3,MATCH(P184,J184:N184,0)))</f>
        <v/>
      </c>
      <c r="R184" s="16">
        <f>IF(O184=0,"",AVERAGE(J184:N184))</f>
        <v/>
      </c>
      <c r="S184" s="20">
        <f>IF(O184&lt;2,"",MAX(J184:N184)/P184)</f>
        <v/>
      </c>
      <c r="T184" s="19">
        <f>IF(O184=0,"",G184*P184)</f>
        <v/>
      </c>
      <c r="U184" s="21">
        <f>IF(OR(O184=0,I184=0),"",T184/I184-1)</f>
        <v/>
      </c>
      <c r="V184" s="18">
        <f>IF(O184=0,"PENDENTE",IF(O184&gt;=5,"COMPLETO","PARCIAL"))</f>
        <v/>
      </c>
    </row>
    <row r="185">
      <c r="A185" s="9" t="inlineStr">
        <is>
          <t>ELE-DPS</t>
        </is>
      </c>
      <c r="B185" s="10" t="inlineStr">
        <is>
          <t>eletrica</t>
        </is>
      </c>
      <c r="C185" s="11" t="inlineStr">
        <is>
          <t>Dispositivo de protecao contra surtos</t>
        </is>
      </c>
      <c r="D185" s="10" t="inlineStr">
        <is>
          <t>un</t>
        </is>
      </c>
      <c r="E185" s="12" t="n">
        <v>2</v>
      </c>
      <c r="F185" s="13" t="n">
        <v>0</v>
      </c>
      <c r="G185" s="14">
        <f>E185*(1+F185)</f>
        <v/>
      </c>
      <c r="H185" s="15" t="n">
        <v>120</v>
      </c>
      <c r="I185" s="16">
        <f>G185*H185</f>
        <v/>
      </c>
      <c r="J185" s="17" t="n"/>
      <c r="K185" s="17" t="n"/>
      <c r="L185" s="17" t="n"/>
      <c r="M185" s="17" t="n"/>
      <c r="N185" s="17" t="n"/>
      <c r="O185" s="18">
        <f>COUNT(J185:N185)</f>
        <v/>
      </c>
      <c r="P185" s="19">
        <f>IF(O185=0,"",MIN(J185:N185))</f>
        <v/>
      </c>
      <c r="Q185" s="10">
        <f>IF(O185=0,"",INDEX($J$3:$N$3,MATCH(P185,J185:N185,0)))</f>
        <v/>
      </c>
      <c r="R185" s="16">
        <f>IF(O185=0,"",AVERAGE(J185:N185))</f>
        <v/>
      </c>
      <c r="S185" s="20">
        <f>IF(O185&lt;2,"",MAX(J185:N185)/P185)</f>
        <v/>
      </c>
      <c r="T185" s="19">
        <f>IF(O185=0,"",G185*P185)</f>
        <v/>
      </c>
      <c r="U185" s="21">
        <f>IF(OR(O185=0,I185=0),"",T185/I185-1)</f>
        <v/>
      </c>
      <c r="V185" s="18">
        <f>IF(O185=0,"PENDENTE",IF(O185&gt;=5,"COMPLETO","PARCIAL"))</f>
        <v/>
      </c>
    </row>
    <row r="186">
      <c r="A186" s="22" t="n"/>
      <c r="B186" s="22" t="n"/>
      <c r="C186" s="23" t="inlineStr">
        <is>
          <t>TOTAL GERAL</t>
        </is>
      </c>
      <c r="D186" s="22" t="n"/>
      <c r="E186" s="22" t="n"/>
      <c r="F186" s="22" t="n"/>
      <c r="G186" s="22" t="n"/>
      <c r="H186" s="22" t="n"/>
      <c r="I186" s="24">
        <f>SUM(I4:I185)</f>
        <v/>
      </c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4">
        <f>SUM(T4:T185)</f>
        <v/>
      </c>
      <c r="U186" s="25">
        <f>IF(T186=0,"",T186/I186-1)</f>
        <v/>
      </c>
      <c r="V186" s="22" t="n"/>
    </row>
    <row r="188">
      <c r="C188" s="2" t="inlineStr">
        <is>
          <t>Itens: 182 · linhas cotáveis com especificação completa: 132 · com lacuna a esclarecer com o fornecedor: 121</t>
        </is>
      </c>
    </row>
    <row r="189">
      <c r="C189" s="2" t="inlineStr">
        <is>
          <t>Passe o mouse sobre a DESCRIÇÃO para ver a especificação completa, as normas e a lacuna de cada item.</t>
        </is>
      </c>
    </row>
  </sheetData>
  <autoFilter ref="A3:V185"/>
  <conditionalFormatting sqref="V4:V185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85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85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SUMIF(COTAÇÃO!$B$4:$B$185,$A5,COTAÇÃO!$I$4:$I$185)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SUMIF(COTAÇÃO!$B$4:$B$185,$A5,COTAÇÃO!$T$4:$T$185)</f>
        <v/>
      </c>
      <c r="G5" s="21">
        <f>IF(OR(F5=0,C5=0),"",F5/C5-1)</f>
        <v/>
      </c>
      <c r="H5" s="18">
        <f>COUNTIFS(COTAÇÃO!$B$4:$B$185,$A5,COTAÇÃO!$O$4:$O$185,"&gt;0")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SUMIF(COTAÇÃO!$B$4:$B$185,$A6,COTAÇÃO!$I$4:$I$185)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SUMIF(COTAÇÃO!$B$4:$B$185,$A6,COTAÇÃO!$T$4:$T$185)</f>
        <v/>
      </c>
      <c r="G6" s="21">
        <f>IF(OR(F6=0,C6=0),"",F6/C6-1)</f>
        <v/>
      </c>
      <c r="H6" s="18">
        <f>COUNTIFS(COTAÇÃO!$B$4:$B$185,$A6,COTAÇÃO!$O$4:$O$185,"&gt;0")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SUMIF(COTAÇÃO!$B$4:$B$185,$A7,COTAÇÃO!$I$4:$I$185)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SUMIF(COTAÇÃO!$B$4:$B$185,$A7,COTAÇÃO!$T$4:$T$185)</f>
        <v/>
      </c>
      <c r="G7" s="21">
        <f>IF(OR(F7=0,C7=0),"",F7/C7-1)</f>
        <v/>
      </c>
      <c r="H7" s="18">
        <f>COUNTIFS(COTAÇÃO!$B$4:$B$185,$A7,COTAÇÃO!$O$4:$O$185,"&gt;0")</f>
        <v/>
      </c>
      <c r="I7" s="21">
        <f>IF(B7=0,0,H7/B7)</f>
        <v/>
      </c>
    </row>
    <row r="8">
      <c r="A8" s="9" t="inlineStr">
        <is>
          <t>externo</t>
        </is>
      </c>
      <c r="B8" s="18" t="n">
        <v>28</v>
      </c>
      <c r="C8" s="27">
        <f>SUMIF(COTAÇÃO!$B$4:$B$185,$A8,COTAÇÃO!$I$4:$I$185)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SUMIF(COTAÇÃO!$B$4:$B$185,$A8,COTAÇÃO!$T$4:$T$185)</f>
        <v/>
      </c>
      <c r="G8" s="21">
        <f>IF(OR(F8=0,C8=0),"",F8/C8-1)</f>
        <v/>
      </c>
      <c r="H8" s="18">
        <f>COUNTIFS(COTAÇÃO!$B$4:$B$185,$A8,COTAÇÃO!$O$4:$O$185,"&gt;0")</f>
        <v/>
      </c>
      <c r="I8" s="21">
        <f>IF(B8=0,0,H8/B8)</f>
        <v/>
      </c>
    </row>
    <row r="9">
      <c r="A9" s="9" t="inlineStr">
        <is>
          <t>eletrica</t>
        </is>
      </c>
      <c r="B9" s="18" t="n">
        <v>26</v>
      </c>
      <c r="C9" s="27">
        <f>SUMIF(COTAÇÃO!$B$4:$B$185,$A9,COTAÇÃO!$I$4:$I$185)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SUMIF(COTAÇÃO!$B$4:$B$185,$A9,COTAÇÃO!$T$4:$T$185)</f>
        <v/>
      </c>
      <c r="G9" s="21">
        <f>IF(OR(F9=0,C9=0),"",F9/C9-1)</f>
        <v/>
      </c>
      <c r="H9" s="18">
        <f>COUNTIFS(COTAÇÃO!$B$4:$B$185,$A9,COTAÇÃO!$O$4:$O$185,"&gt;0")</f>
        <v/>
      </c>
      <c r="I9" s="21">
        <f>IF(B9=0,0,H9/B9)</f>
        <v/>
      </c>
    </row>
    <row r="10">
      <c r="A10" s="9" t="inlineStr">
        <is>
          <t>fachada</t>
        </is>
      </c>
      <c r="B10" s="18" t="n">
        <v>12</v>
      </c>
      <c r="C10" s="27">
        <f>SUMIF(COTAÇÃO!$B$4:$B$185,$A10,COTAÇÃO!$I$4:$I$185)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SUMIF(COTAÇÃO!$B$4:$B$185,$A10,COTAÇÃO!$T$4:$T$185)</f>
        <v/>
      </c>
      <c r="G10" s="21">
        <f>IF(OR(F10=0,C10=0),"",F10/C10-1)</f>
        <v/>
      </c>
      <c r="H10" s="18">
        <f>COUNTIFS(COTAÇÃO!$B$4:$B$185,$A10,COTAÇÃO!$O$4:$O$185,"&gt;0")</f>
        <v/>
      </c>
      <c r="I10" s="21">
        <f>IF(B10=0,0,H10/B10)</f>
        <v/>
      </c>
    </row>
    <row r="11">
      <c r="A11" s="9" t="inlineStr">
        <is>
          <t>fundacao</t>
        </is>
      </c>
      <c r="B11" s="18" t="n">
        <v>11</v>
      </c>
      <c r="C11" s="27">
        <f>SUMIF(COTAÇÃO!$B$4:$B$185,$A11,COTAÇÃO!$I$4:$I$185)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SUMIF(COTAÇÃO!$B$4:$B$185,$A11,COTAÇÃO!$T$4:$T$185)</f>
        <v/>
      </c>
      <c r="G11" s="21">
        <f>IF(OR(F11=0,C11=0),"",F11/C11-1)</f>
        <v/>
      </c>
      <c r="H11" s="18">
        <f>COUNTIFS(COTAÇÃO!$B$4:$B$185,$A11,COTAÇÃO!$O$4:$O$185,"&gt;0")</f>
        <v/>
      </c>
      <c r="I11" s="21">
        <f>IF(B11=0,0,H11/B11)</f>
        <v/>
      </c>
    </row>
    <row r="12">
      <c r="A12" s="9" t="inlineStr">
        <is>
          <t>revestimento</t>
        </is>
      </c>
      <c r="B12" s="18" t="n">
        <v>6</v>
      </c>
      <c r="C12" s="27">
        <f>SUMIF(COTAÇÃO!$B$4:$B$185,$A12,COTAÇÃO!$I$4:$I$185)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SUMIF(COTAÇÃO!$B$4:$B$185,$A12,COTAÇÃO!$T$4:$T$185)</f>
        <v/>
      </c>
      <c r="G12" s="21">
        <f>IF(OR(F12=0,C12=0),"",F12/C12-1)</f>
        <v/>
      </c>
      <c r="H12" s="18">
        <f>COUNTIFS(COTAÇÃO!$B$4:$B$185,$A12,COTAÇÃO!$O$4:$O$185,"&gt;0")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SUMIF(COTAÇÃO!$B$4:$B$185,$A13,COTAÇÃO!$I$4:$I$185)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SUMIF(COTAÇÃO!$B$4:$B$185,$A13,COTAÇÃO!$T$4:$T$185)</f>
        <v/>
      </c>
      <c r="G13" s="21">
        <f>IF(OR(F13=0,C13=0),"",F13/C13-1)</f>
        <v/>
      </c>
      <c r="H13" s="18">
        <f>COUNTIFS(COTAÇÃO!$B$4:$B$185,$A13,COTAÇÃO!$O$4:$O$185,"&gt;0")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28</v>
      </c>
      <c r="C14" s="27">
        <f>SUMIF(COTAÇÃO!$B$4:$B$185,$A14,COTAÇÃO!$I$4:$I$185)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SUMIF(COTAÇÃO!$B$4:$B$185,$A14,COTAÇÃO!$T$4:$T$185)</f>
        <v/>
      </c>
      <c r="G14" s="21">
        <f>IF(OR(F14=0,C14=0),"",F14/C14-1)</f>
        <v/>
      </c>
      <c r="H14" s="18">
        <f>COUNTIFS(COTAÇÃO!$B$4:$B$185,$A14,COTAÇÃO!$O$4:$O$185,"&gt;0")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SUMIF(COTAÇÃO!$B$4:$B$185,$A15,COTAÇÃO!$I$4:$I$185)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SUMIF(COTAÇÃO!$B$4:$B$185,$A15,COTAÇÃO!$T$4:$T$185)</f>
        <v/>
      </c>
      <c r="G15" s="21">
        <f>IF(OR(F15=0,C15=0),"",F15/C15-1)</f>
        <v/>
      </c>
      <c r="H15" s="18">
        <f>COUNTIFS(COTAÇÃO!$B$4:$B$185,$A15,COTAÇÃO!$O$4:$O$185,"&gt;0")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SUMIF(COTAÇÃO!$B$4:$B$185,$A16,COTAÇÃO!$I$4:$I$185)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SUMIF(COTAÇÃO!$B$4:$B$185,$A16,COTAÇÃO!$T$4:$T$185)</f>
        <v/>
      </c>
      <c r="G16" s="21">
        <f>IF(OR(F16=0,C16=0),"",F16/C16-1)</f>
        <v/>
      </c>
      <c r="H16" s="18">
        <f>COUNTIFS(COTAÇÃO!$B$4:$B$185,$A16,COTAÇÃO!$O$4:$O$185,"&gt;0")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SUMIF(COTAÇÃO!$B$4:$B$185,$A17,COTAÇÃO!$I$4:$I$185)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SUMIF(COTAÇÃO!$B$4:$B$185,$A17,COTAÇÃO!$T$4:$T$185)</f>
        <v/>
      </c>
      <c r="G17" s="21">
        <f>IF(OR(F17=0,C17=0),"",F17/C17-1)</f>
        <v/>
      </c>
      <c r="H17" s="18">
        <f>COUNTIFS(COTAÇÃO!$B$4:$B$185,$A17,COTAÇÃO!$O$4:$O$185,"&gt;0")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SUMIF(COTAÇÃO!$B$4:$B$185,$A18,COTAÇÃO!$I$4:$I$185)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SUMIF(COTAÇÃO!$B$4:$B$185,$A18,COTAÇÃO!$T$4:$T$185)</f>
        <v/>
      </c>
      <c r="G18" s="21">
        <f>IF(OR(F18=0,C18=0),"",F18/C18-1)</f>
        <v/>
      </c>
      <c r="H18" s="18">
        <f>COUNTIFS(COTAÇÃO!$B$4:$B$185,$A18,COTAÇÃO!$O$4:$O$185,"&gt;0")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SUMIF(COTAÇÃO!$B$4:$B$185,$A19,COTAÇÃO!$I$4:$I$185)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SUMIF(COTAÇÃO!$B$4:$B$185,$A19,COTAÇÃO!$T$4:$T$185)</f>
        <v/>
      </c>
      <c r="G19" s="21">
        <f>IF(OR(F19=0,C19=0),"",F19/C19-1)</f>
        <v/>
      </c>
      <c r="H19" s="18">
        <f>COUNTIFS(COTAÇÃO!$B$4:$B$185,$A19,COTAÇÃO!$O$4:$O$185,"&gt;0")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SUMIF(COTAÇÃO!$B$4:$B$185,$A20,COTAÇÃO!$I$4:$I$185)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SUMIF(COTAÇÃO!$B$4:$B$185,$A20,COTAÇÃO!$T$4:$T$185)</f>
        <v/>
      </c>
      <c r="G20" s="21">
        <f>IF(OR(F20=0,C20=0),"",F20/C20-1)</f>
        <v/>
      </c>
      <c r="H20" s="18">
        <f>COUNTIFS(COTAÇÃO!$B$4:$B$185,$A20,COTAÇÃO!$O$4:$O$185,"&gt;0")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4" t="n">
        <v>2474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4" t="n">
        <v>1396.4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FIX-06</t>
        </is>
      </c>
      <c r="B52" s="10" t="inlineStr">
        <is>
          <t>instalacao</t>
        </is>
      </c>
      <c r="C52" s="11" t="inlineStr">
        <is>
          <t>Bucha passa-fio 25 mm (montante atravessado)</t>
        </is>
      </c>
      <c r="D52" s="10" t="inlineStr">
        <is>
          <t>un</t>
        </is>
      </c>
      <c r="E52" s="14" t="n">
        <v>2580</v>
      </c>
      <c r="F52" s="11" t="inlineStr"/>
      <c r="G52" s="11" t="inlineStr"/>
      <c r="H52" s="11" t="inlineStr">
        <is>
          <t>o modelo nao sabe descrever este item para um fornecedor</t>
        </is>
      </c>
      <c r="I52" s="18" t="inlineStr">
        <is>
          <t>com lacuna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FIX-13</t>
        </is>
      </c>
      <c r="B56" s="10" t="inlineStr">
        <is>
          <t>instalacao</t>
        </is>
      </c>
      <c r="C56" s="11" t="inlineStr">
        <is>
          <t>Clip de eletroduto no montante (a cada 1.200 mm)</t>
        </is>
      </c>
      <c r="D56" s="10" t="inlineStr">
        <is>
          <t>un</t>
        </is>
      </c>
      <c r="E56" s="14" t="n">
        <v>1746</v>
      </c>
      <c r="F56" s="11" t="inlineStr"/>
      <c r="G56" s="11" t="inlineStr"/>
      <c r="H56" s="11" t="inlineStr">
        <is>
          <t>o modelo nao sabe descrever este item para um fornecedor</t>
        </is>
      </c>
      <c r="I56" s="18" t="inlineStr">
        <is>
          <t>com lacuna</t>
        </is>
      </c>
    </row>
    <row r="57">
      <c r="A57" s="9" t="inlineStr">
        <is>
          <t>MEP-ISOL</t>
        </is>
      </c>
      <c r="B57" s="10" t="inlineStr">
        <is>
          <t>instalacao</t>
        </is>
      </c>
      <c r="C57" s="11" t="inlineStr">
        <is>
          <t>Isolamento de linha</t>
        </is>
      </c>
      <c r="D57" s="10" t="inlineStr">
        <is>
          <t>m</t>
        </is>
      </c>
      <c r="E57" s="14" t="n">
        <v>112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MEP-DISJ</t>
        </is>
      </c>
      <c r="B58" s="10" t="inlineStr">
        <is>
          <t>instalacao</t>
        </is>
      </c>
      <c r="C58" s="11" t="inlineStr">
        <is>
          <t>Disjuntor</t>
        </is>
      </c>
      <c r="D58" s="10" t="inlineStr">
        <is>
          <t>un</t>
        </is>
      </c>
      <c r="E58" s="14" t="n">
        <v>37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MEP-PEX20</t>
        </is>
      </c>
      <c r="B59" s="10" t="inlineStr">
        <is>
          <t>instalacao</t>
        </is>
      </c>
      <c r="C59" s="11" t="inlineStr">
        <is>
          <t>Tubo PEX DN20 agua fria, pela parede a 400 mm</t>
        </is>
      </c>
      <c r="D59" s="10" t="inlineStr">
        <is>
          <t>m</t>
        </is>
      </c>
      <c r="E59" s="14" t="n">
        <v>121.5</v>
      </c>
      <c r="F59" s="11" t="inlineStr">
        <is>
          <t>tubo, conexao ou condutor conforme descricao; DN20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FIX-10</t>
        </is>
      </c>
      <c r="B60" s="10" t="inlineStr">
        <is>
          <t>instalacao</t>
        </is>
      </c>
      <c r="C60" s="11" t="inlineStr">
        <is>
          <t>Caixa de passagem</t>
        </is>
      </c>
      <c r="D60" s="10" t="inlineStr">
        <is>
          <t>un</t>
        </is>
      </c>
      <c r="E60" s="14" t="n">
        <v>130</v>
      </c>
      <c r="F60" s="11" t="inlineStr"/>
      <c r="G60" s="11" t="inlineStr"/>
      <c r="H60" s="11" t="inlineStr">
        <is>
          <t>o modelo nao sabe descrever este item para um fornecedor</t>
        </is>
      </c>
      <c r="I60" s="18" t="inlineStr">
        <is>
          <t>com lacuna</t>
        </is>
      </c>
    </row>
    <row r="61">
      <c r="A61" s="9" t="inlineStr">
        <is>
          <t>MEP-ESGO75</t>
        </is>
      </c>
      <c r="B61" s="10" t="inlineStr">
        <is>
          <t>instalacao</t>
        </is>
      </c>
      <c r="C61" s="11" t="inlineStr">
        <is>
          <t>Tubo esgoto DN75</t>
        </is>
      </c>
      <c r="D61" s="10" t="inlineStr">
        <is>
          <t>m</t>
        </is>
      </c>
      <c r="E61" s="14" t="n">
        <v>38.3</v>
      </c>
      <c r="F61" s="11" t="inlineStr">
        <is>
          <t>tubo, conexao ou condutor conforme descricao; DN75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4" t="n">
        <v>36.1</v>
      </c>
      <c r="F62" s="11" t="inlineStr">
        <is>
          <t>tubo, conexao ou condutor conforme descricao; DN100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4" t="n">
        <v>39.8</v>
      </c>
      <c r="F63" s="11" t="inlineStr">
        <is>
          <t>tubo, conexao ou condutor conforme descricao; DN20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4" t="n">
        <v>107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4" t="n">
        <v>21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4" t="n">
        <v>113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4" t="n">
        <v>300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MEP-DRENO</t>
        </is>
      </c>
      <c r="B68" s="10" t="inlineStr">
        <is>
          <t>instalacao</t>
        </is>
      </c>
      <c r="C68" s="11" t="inlineStr">
        <is>
          <t>Dreno de condensado</t>
        </is>
      </c>
      <c r="D68" s="10" t="inlineStr">
        <is>
          <t>m</t>
        </is>
      </c>
      <c r="E68" s="14" t="n">
        <v>44.8</v>
      </c>
      <c r="F68" s="11" t="inlineStr">
        <is>
          <t>tubo, conexao ou condutor conforme descricao</t>
        </is>
      </c>
      <c r="G68" s="11" t="inlineStr">
        <is>
          <t>NBR 5410, NBR 5626, NBR 8160</t>
        </is>
      </c>
      <c r="H68" s="11" t="inlineStr"/>
      <c r="I68" s="18" t="inlineStr">
        <is>
          <t>sim</t>
        </is>
      </c>
    </row>
    <row r="69">
      <c r="A69" s="9" t="inlineStr">
        <is>
          <t>FIX-01</t>
        </is>
      </c>
      <c r="B69" s="10" t="inlineStr">
        <is>
          <t>instalacao</t>
        </is>
      </c>
      <c r="C69" s="11" t="inlineStr">
        <is>
          <t>Abracadeira de eletroduto no forro/entrepiso (a cada 1.000 mm)</t>
        </is>
      </c>
      <c r="D69" s="10" t="inlineStr">
        <is>
          <t>un</t>
        </is>
      </c>
      <c r="E69" s="14" t="n">
        <v>161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FIX-14</t>
        </is>
      </c>
      <c r="B70" s="10" t="inlineStr">
        <is>
          <t>instalacao</t>
        </is>
      </c>
      <c r="C70" s="11" t="inlineStr">
        <is>
          <t>Eletroduto PEAD enterrado (m)</t>
        </is>
      </c>
      <c r="D70" s="10" t="inlineStr">
        <is>
          <t>m</t>
        </is>
      </c>
      <c r="E70" s="14" t="n">
        <v>22.5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FIX-02</t>
        </is>
      </c>
      <c r="B71" s="10" t="inlineStr">
        <is>
          <t>instalacao</t>
        </is>
      </c>
      <c r="C71" s="11" t="inlineStr">
        <is>
          <t>Abracadeira de linha frigorigena (a cada 1,0 m)</t>
        </is>
      </c>
      <c r="D71" s="10" t="inlineStr">
        <is>
          <t>un</t>
        </is>
      </c>
      <c r="E71" s="14" t="n">
        <v>78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FIX-08</t>
        </is>
      </c>
      <c r="B72" s="10" t="inlineStr">
        <is>
          <t>instalacao</t>
        </is>
      </c>
      <c r="C72" s="11" t="inlineStr">
        <is>
          <t>Caixa 4x4</t>
        </is>
      </c>
      <c r="D72" s="10" t="inlineStr">
        <is>
          <t>un</t>
        </is>
      </c>
      <c r="E72" s="14" t="n">
        <v>40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FIX-12</t>
        </is>
      </c>
      <c r="B73" s="10" t="inlineStr">
        <is>
          <t>instalacao</t>
        </is>
      </c>
      <c r="C73" s="11" t="inlineStr">
        <is>
          <t>Clip de PEX no montante (a cada 600 mm)</t>
        </is>
      </c>
      <c r="D73" s="10" t="inlineStr">
        <is>
          <t>un</t>
        </is>
      </c>
      <c r="E73" s="14" t="n">
        <v>275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4" t="n">
        <v>24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4" t="n">
        <v>30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4" t="n">
        <v>52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4" t="n">
        <v>6070</v>
      </c>
      <c r="F77" s="11" t="inlineStr">
        <is>
          <t>tipos em uso: AB 4,8x19 ponta broca, AB 5,5x25 ponta broca</t>
        </is>
      </c>
      <c r="G77" s="11" t="inlineStr">
        <is>
          <t>NBR 14762 item 8.4</t>
        </is>
      </c>
      <c r="H77" s="11" t="inlineStr"/>
      <c r="I77" s="18" t="inlineStr">
        <is>
          <t>sim</t>
        </is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4" t="n">
        <v>114</v>
      </c>
      <c r="F7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8" s="11" t="inlineStr">
        <is>
          <t>NBR 13245, NBR 15498</t>
        </is>
      </c>
      <c r="H78" s="11" t="inlineStr"/>
      <c r="I78" s="18" t="inlineStr">
        <is>
          <t>sim</t>
        </is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4" t="n">
        <v>155.4</v>
      </c>
      <c r="F79" s="11" t="inlineStr">
        <is>
          <t>placa cimenticia 1.200 x 2.400 com revestimento mineral aplicado em fabrica, cor clara, junta seca de 6 mm com perfil EPDM — face externa do volume superior e da platibanda</t>
        </is>
      </c>
      <c r="G79" s="11" t="inlineStr">
        <is>
          <t>NBR 13245, NBR 15498</t>
        </is>
      </c>
      <c r="H79" s="11" t="inlineStr">
        <is>
          <t>fabricante e linha do revestimento mineral: acabamento de fachada e decisao do proprietario</t>
        </is>
      </c>
      <c r="I79" s="18" t="inlineStr">
        <is>
          <t>sim</t>
        </is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4" t="n">
        <v>279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4" t="n">
        <v>192</v>
      </c>
      <c r="F8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1" s="11" t="inlineStr">
        <is>
          <t>NBR 13245, NBR 15498</t>
        </is>
      </c>
      <c r="H81" s="11" t="inlineStr"/>
      <c r="I81" s="18" t="inlineStr">
        <is>
          <t>sim</t>
        </is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4" t="n">
        <v>192</v>
      </c>
      <c r="F8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2" s="11" t="inlineStr">
        <is>
          <t>NBR 13245, NBR 15498</t>
        </is>
      </c>
      <c r="H82" s="11" t="inlineStr"/>
      <c r="I82" s="18" t="inlineStr">
        <is>
          <t>sim</t>
        </is>
      </c>
    </row>
    <row r="83">
      <c r="A83" s="9" t="inlineStr">
        <is>
          <t>BRI-MEC</t>
        </is>
      </c>
      <c r="B83" s="10" t="inlineStr">
        <is>
          <t>fachada</t>
        </is>
      </c>
      <c r="C83" s="11" t="inlineStr">
        <is>
          <t>Mecanismo de brise movel: guia, roldana e trava</t>
        </is>
      </c>
      <c r="D83" s="10" t="inlineStr">
        <is>
          <t>cj</t>
        </is>
      </c>
      <c r="E83" s="14" t="n">
        <v>2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FAC-JUNTA-SECA</t>
        </is>
      </c>
      <c r="B84" s="10" t="inlineStr">
        <is>
          <t>fachada</t>
        </is>
      </c>
      <c r="C84" s="11" t="inlineStr">
        <is>
          <t>Junta seca: perfil EPDM e fundo de junta</t>
        </is>
      </c>
      <c r="D84" s="10" t="inlineStr">
        <is>
          <t>m</t>
        </is>
      </c>
      <c r="E84" s="14" t="n">
        <v>194.3</v>
      </c>
      <c r="F8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4" s="11" t="inlineStr">
        <is>
          <t>NBR 13245, NBR 15498</t>
        </is>
      </c>
      <c r="H84" s="11" t="inlineStr"/>
      <c r="I84" s="18" t="inlineStr">
        <is>
          <t>sim</t>
        </is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4" t="n">
        <v>54.8</v>
      </c>
      <c r="F8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5" s="11" t="inlineStr">
        <is>
          <t>NBR 13245, NBR 15498</t>
        </is>
      </c>
      <c r="H85" s="11" t="inlineStr"/>
      <c r="I85" s="18" t="inlineStr">
        <is>
          <t>sim</t>
        </is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4" t="n">
        <v>239.9</v>
      </c>
      <c r="F86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6" s="11" t="inlineStr">
        <is>
          <t>NBR 13245, NBR 15498</t>
        </is>
      </c>
      <c r="H86" s="11" t="inlineStr"/>
      <c r="I86" s="18" t="inlineStr">
        <is>
          <t>sim</t>
        </is>
      </c>
    </row>
    <row r="87">
      <c r="A87" s="9" t="inlineStr">
        <is>
          <t>FAC-TELA</t>
        </is>
      </c>
      <c r="B87" s="10" t="inlineStr">
        <is>
          <t>fachada</t>
        </is>
      </c>
      <c r="C87" s="11" t="inlineStr">
        <is>
          <t>Tela de fibra de vidro alcali-resistente, embutida no basecoat</t>
        </is>
      </c>
      <c r="D87" s="10" t="inlineStr">
        <is>
          <t>m2</t>
        </is>
      </c>
      <c r="E87" s="14" t="n">
        <v>211.2</v>
      </c>
      <c r="F8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7" s="11" t="inlineStr">
        <is>
          <t>NBR 13245, NBR 15498</t>
        </is>
      </c>
      <c r="H87" s="11" t="inlineStr"/>
      <c r="I87" s="18" t="inlineStr">
        <is>
          <t>sim</t>
        </is>
      </c>
    </row>
    <row r="88">
      <c r="A88" s="9" t="inlineStr">
        <is>
          <t>BRI-TRAV</t>
        </is>
      </c>
      <c r="B88" s="10" t="inlineStr">
        <is>
          <t>fachada</t>
        </is>
      </c>
      <c r="C88" s="11" t="inlineStr">
        <is>
          <t>Travessa de brise: U 50x25x1,2 aluminio</t>
        </is>
      </c>
      <c r="D88" s="10" t="inlineStr">
        <is>
          <t>m</t>
        </is>
      </c>
      <c r="E88" s="14" t="n">
        <v>41.4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4" t="n">
        <v>80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4" t="n">
        <v>3118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4" t="n">
        <v>33.12</v>
      </c>
      <c r="F91" s="11" t="inlineStr"/>
      <c r="G91" s="11" t="inlineStr"/>
      <c r="H91" s="11" t="inlineStr">
        <is>
          <t>o modelo nao sabe descrever este item para um fornecedor</t>
        </is>
      </c>
      <c r="I91" s="18" t="inlineStr">
        <is>
          <t>com lacuna</t>
        </is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4" t="n">
        <v>4.57</v>
      </c>
      <c r="F92" s="11" t="inlineStr"/>
      <c r="G92" s="11" t="inlineStr"/>
      <c r="H92" s="11" t="inlineStr">
        <is>
          <t>o modelo nao sabe descrever este item para um fornecedor</t>
        </is>
      </c>
      <c r="I92" s="18" t="inlineStr">
        <is>
          <t>com lacuna</t>
        </is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4" t="n">
        <v>43.2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4" t="n">
        <v>30.43</v>
      </c>
      <c r="F94" s="11" t="inlineStr"/>
      <c r="G94" s="11" t="inlineStr"/>
      <c r="H94" s="11" t="inlineStr">
        <is>
          <t>o modelo nao sabe descrever este item para um fornecedor</t>
        </is>
      </c>
      <c r="I94" s="18" t="inlineStr">
        <is>
          <t>com lacuna</t>
        </is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4" t="n">
        <v>24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EXT-GRAMA</t>
        </is>
      </c>
      <c r="B96" s="10" t="inlineStr">
        <is>
          <t>externo</t>
        </is>
      </c>
      <c r="C96" s="11" t="inlineStr">
        <is>
          <t>Grama e canteiro</t>
        </is>
      </c>
      <c r="D96" s="10" t="inlineStr">
        <is>
          <t>m2</t>
        </is>
      </c>
      <c r="E96" s="14" t="n">
        <v>137.16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EXT-HIDROF</t>
        </is>
      </c>
      <c r="B97" s="10" t="inlineStr">
        <is>
          <t>externo</t>
        </is>
      </c>
      <c r="C97" s="11" t="inlineStr">
        <is>
          <t>Hidrofugante incolor no muro aparente</t>
        </is>
      </c>
      <c r="D97" s="10" t="inlineStr">
        <is>
          <t>m2</t>
        </is>
      </c>
      <c r="E97" s="14" t="n">
        <v>249.5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EXT-ARV</t>
        </is>
      </c>
      <c r="B98" s="10" t="inlineStr">
        <is>
          <t>externo</t>
        </is>
      </c>
      <c r="C98" s="11" t="inlineStr">
        <is>
          <t>Arvore de porte</t>
        </is>
      </c>
      <c r="D98" s="10" t="inlineStr">
        <is>
          <t>un</t>
        </is>
      </c>
      <c r="E98" s="14" t="n">
        <v>5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EXT-PISO1</t>
        </is>
      </c>
      <c r="B99" s="10" t="inlineStr">
        <is>
          <t>externo</t>
        </is>
      </c>
      <c r="C99" s="11" t="inlineStr">
        <is>
          <t>faixa seca da piscina: porcelanato externo claro R11</t>
        </is>
      </c>
      <c r="D99" s="10" t="inlineStr">
        <is>
          <t>m2</t>
        </is>
      </c>
      <c r="E99" s="14" t="n">
        <v>24.3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EXT-BORDA</t>
        </is>
      </c>
      <c r="B100" s="10" t="inlineStr">
        <is>
          <t>externo</t>
        </is>
      </c>
      <c r="C100" s="11" t="inlineStr">
        <is>
          <t>Borda de piscina</t>
        </is>
      </c>
      <c r="D100" s="10" t="inlineStr">
        <is>
          <t>m</t>
        </is>
      </c>
      <c r="E100" s="14" t="n">
        <v>17.4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EXT-PISO3</t>
        </is>
      </c>
      <c r="B101" s="10" t="inlineStr">
        <is>
          <t>externo</t>
        </is>
      </c>
      <c r="C101" s="11" t="inlineStr">
        <is>
          <t>passeio e acesso: piso drenante intertravado claro</t>
        </is>
      </c>
      <c r="D101" s="10" t="inlineStr">
        <is>
          <t>m2</t>
        </is>
      </c>
      <c r="E101" s="14" t="n">
        <v>30.96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EXT-PISC-BOMBA</t>
        </is>
      </c>
      <c r="B102" s="10" t="inlineStr">
        <is>
          <t>externo</t>
        </is>
      </c>
      <c r="C102" s="11" t="inlineStr">
        <is>
          <t>Piscina: bomba velocidade variavel 0,5 cv com pre-filtro</t>
        </is>
      </c>
      <c r="D102" s="10" t="inlineStr">
        <is>
          <t>un</t>
        </is>
      </c>
      <c r="E102" s="14" t="n">
        <v>1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EXT-PISC-TUBO</t>
        </is>
      </c>
      <c r="B103" s="10" t="inlineStr">
        <is>
          <t>externo</t>
        </is>
      </c>
      <c r="C103" s="11" t="inlineStr">
        <is>
          <t>Piscina: tubo PVC soldavel DN50 com conexoes</t>
        </is>
      </c>
      <c r="D103" s="10" t="inlineStr">
        <is>
          <t>m</t>
        </is>
      </c>
      <c r="E103" s="14" t="n">
        <v>94.2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EXT-PISO5</t>
        </is>
      </c>
      <c r="B104" s="10" t="inlineStr">
        <is>
          <t>externo</t>
        </is>
      </c>
      <c r="C104" s="11" t="inlineStr">
        <is>
          <t>varanda do pavimento superior: porcelanato externo claro R11</t>
        </is>
      </c>
      <c r="D104" s="10" t="inlineStr">
        <is>
          <t>m2</t>
        </is>
      </c>
      <c r="E104" s="14" t="n">
        <v>14.04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EXT-GRAUTE</t>
        </is>
      </c>
      <c r="B105" s="10" t="inlineStr">
        <is>
          <t>externo</t>
        </is>
      </c>
      <c r="C105" s="11" t="inlineStr">
        <is>
          <t>Graute de cinta e pilarete do muro</t>
        </is>
      </c>
      <c r="D105" s="10" t="inlineStr">
        <is>
          <t>m3</t>
        </is>
      </c>
      <c r="E105" s="14" t="n">
        <v>2.99</v>
      </c>
      <c r="F105" s="11" t="inlineStr"/>
      <c r="G105" s="11" t="inlineStr"/>
      <c r="H105" s="11" t="inlineStr">
        <is>
          <t>o modelo nao sabe descrever este item para um fornecedor</t>
        </is>
      </c>
      <c r="I105" s="18" t="inlineStr">
        <is>
          <t>com lacuna</t>
        </is>
      </c>
    </row>
    <row r="106">
      <c r="A106" s="9" t="inlineStr">
        <is>
          <t>EXT-PISC-FILTRO</t>
        </is>
      </c>
      <c r="B106" s="10" t="inlineStr">
        <is>
          <t>externo</t>
        </is>
      </c>
      <c r="C106" s="11" t="inlineStr">
        <is>
          <t>Piscina: filtro de areia DE 500 mm com valvula seletora</t>
        </is>
      </c>
      <c r="D106" s="10" t="inlineStr">
        <is>
          <t>un</t>
        </is>
      </c>
      <c r="E106" s="14" t="n">
        <v>1</v>
      </c>
      <c r="F106" s="11" t="inlineStr"/>
      <c r="G106" s="11" t="inlineStr"/>
      <c r="H106" s="11" t="inlineStr">
        <is>
          <t>o modelo nao sabe descrever este item para um fornecedor</t>
        </is>
      </c>
      <c r="I106" s="18" t="inlineStr">
        <is>
          <t>com lacuna</t>
        </is>
      </c>
    </row>
    <row r="107">
      <c r="A107" s="9" t="inlineStr">
        <is>
          <t>EXT-PISC-IMP</t>
        </is>
      </c>
      <c r="B107" s="10" t="inlineStr">
        <is>
          <t>externo</t>
        </is>
      </c>
      <c r="C107" s="11" t="inlineStr">
        <is>
          <t>Piscina: impermeabilizacao (cristalizante + polimerica)</t>
        </is>
      </c>
      <c r="D107" s="10" t="inlineStr">
        <is>
          <t>m2</t>
        </is>
      </c>
      <c r="E107" s="14" t="n">
        <v>30.43</v>
      </c>
      <c r="F107" s="11" t="inlineStr"/>
      <c r="G107" s="11" t="inlineStr"/>
      <c r="H107" s="11" t="inlineStr">
        <is>
          <t>o modelo nao sabe descrever este item para um fornecedor</t>
        </is>
      </c>
      <c r="I107" s="18" t="inlineStr">
        <is>
          <t>com lacuna</t>
        </is>
      </c>
    </row>
    <row r="108">
      <c r="A108" s="9" t="inlineStr">
        <is>
          <t>EXT-PISC-LED</t>
        </is>
      </c>
      <c r="B108" s="10" t="inlineStr">
        <is>
          <t>externo</t>
        </is>
      </c>
      <c r="C108" s="11" t="inlineStr">
        <is>
          <t>Piscina: LED subaquatico 18 W 2700-3000 K</t>
        </is>
      </c>
      <c r="D108" s="10" t="inlineStr">
        <is>
          <t>un</t>
        </is>
      </c>
      <c r="E108" s="14" t="n">
        <v>3</v>
      </c>
      <c r="F108" s="11" t="inlineStr"/>
      <c r="G108" s="11" t="inlineStr"/>
      <c r="H108" s="11" t="inlineStr">
        <is>
          <t>o modelo nao sabe descrever este item para um fornecedor</t>
        </is>
      </c>
      <c r="I108" s="18" t="inlineStr">
        <is>
          <t>com lacuna</t>
        </is>
      </c>
    </row>
    <row r="109">
      <c r="A109" s="9" t="inlineStr">
        <is>
          <t>EXT-PISC-DRENO</t>
        </is>
      </c>
      <c r="B109" s="10" t="inlineStr">
        <is>
          <t>externo</t>
        </is>
      </c>
      <c r="C109" s="11" t="inlineStr">
        <is>
          <t>Piscina: dreno de fundo antiaprisionamento</t>
        </is>
      </c>
      <c r="D109" s="10" t="inlineStr">
        <is>
          <t>un</t>
        </is>
      </c>
      <c r="E109" s="14" t="n">
        <v>2</v>
      </c>
      <c r="F109" s="11" t="inlineStr"/>
      <c r="G109" s="11" t="inlineStr"/>
      <c r="H109" s="11" t="inlineStr">
        <is>
          <t>o modelo nao sabe descrever este item para um fornecedor</t>
        </is>
      </c>
      <c r="I109" s="18" t="inlineStr">
        <is>
          <t>com lacuna</t>
        </is>
      </c>
    </row>
    <row r="110">
      <c r="A110" s="9" t="inlineStr">
        <is>
          <t>EXT-PISC-AREIA</t>
        </is>
      </c>
      <c r="B110" s="10" t="inlineStr">
        <is>
          <t>externo</t>
        </is>
      </c>
      <c r="C110" s="11" t="inlineStr">
        <is>
          <t>Piscina: areia filtrante (leito de 600 mm)</t>
        </is>
      </c>
      <c r="D110" s="10" t="inlineStr">
        <is>
          <t>kg</t>
        </is>
      </c>
      <c r="E110" s="14" t="n">
        <v>188</v>
      </c>
      <c r="F110" s="11" t="inlineStr"/>
      <c r="G110" s="11" t="inlineStr"/>
      <c r="H110" s="11" t="inlineStr">
        <is>
          <t>o modelo nao sabe descrever este item para um fornecedor</t>
        </is>
      </c>
      <c r="I110" s="18" t="inlineStr">
        <is>
          <t>com lacuna</t>
        </is>
      </c>
    </row>
    <row r="111">
      <c r="A111" s="9" t="inlineStr">
        <is>
          <t>EXT-PISC-FONTE</t>
        </is>
      </c>
      <c r="B111" s="10" t="inlineStr">
        <is>
          <t>externo</t>
        </is>
      </c>
      <c r="C111" s="11" t="inlineStr">
        <is>
          <t>Piscina: fonte SELV 12 V com DR</t>
        </is>
      </c>
      <c r="D111" s="10" t="inlineStr">
        <is>
          <t>un</t>
        </is>
      </c>
      <c r="E111" s="14" t="n">
        <v>1</v>
      </c>
      <c r="F111" s="11" t="inlineStr"/>
      <c r="G111" s="11" t="inlineStr"/>
      <c r="H111" s="11" t="inlineStr">
        <is>
          <t>o modelo nao sabe descrever este item para um fornecedor</t>
        </is>
      </c>
      <c r="I111" s="18" t="inlineStr">
        <is>
          <t>com lacuna</t>
        </is>
      </c>
    </row>
    <row r="112">
      <c r="A112" s="9" t="inlineStr">
        <is>
          <t>EXT-PISC-REG</t>
        </is>
      </c>
      <c r="B112" s="10" t="inlineStr">
        <is>
          <t>externo</t>
        </is>
      </c>
      <c r="C112" s="11" t="inlineStr">
        <is>
          <t>Piscina: registro de esfera DN50</t>
        </is>
      </c>
      <c r="D112" s="10" t="inlineStr">
        <is>
          <t>un</t>
        </is>
      </c>
      <c r="E112" s="14" t="n">
        <v>5</v>
      </c>
      <c r="F112" s="11" t="inlineStr"/>
      <c r="G112" s="11" t="inlineStr"/>
      <c r="H112" s="11" t="inlineStr">
        <is>
          <t>o modelo nao sabe descrever este item para um fornecedor</t>
        </is>
      </c>
      <c r="I112" s="18" t="inlineStr">
        <is>
          <t>com lacuna</t>
        </is>
      </c>
    </row>
    <row r="113">
      <c r="A113" s="9" t="inlineStr">
        <is>
          <t>EXT-PISC-SKIM</t>
        </is>
      </c>
      <c r="B113" s="10" t="inlineStr">
        <is>
          <t>externo</t>
        </is>
      </c>
      <c r="C113" s="11" t="inlineStr">
        <is>
          <t>Piscina: skimmer de embutir</t>
        </is>
      </c>
      <c r="D113" s="10" t="inlineStr">
        <is>
          <t>un</t>
        </is>
      </c>
      <c r="E113" s="14" t="n">
        <v>1</v>
      </c>
      <c r="F113" s="11" t="inlineStr"/>
      <c r="G113" s="11" t="inlineStr"/>
      <c r="H113" s="11" t="inlineStr">
        <is>
          <t>o modelo nao sabe descrever este item para um fornecedor</t>
        </is>
      </c>
      <c r="I113" s="18" t="inlineStr">
        <is>
          <t>com lacuna</t>
        </is>
      </c>
    </row>
    <row r="114">
      <c r="A114" s="9" t="inlineStr">
        <is>
          <t>EXT-PISC-RET</t>
        </is>
      </c>
      <c r="B114" s="10" t="inlineStr">
        <is>
          <t>externo</t>
        </is>
      </c>
      <c r="C114" s="11" t="inlineStr">
        <is>
          <t>Piscina: dispositivo de retorno</t>
        </is>
      </c>
      <c r="D114" s="10" t="inlineStr">
        <is>
          <t>un</t>
        </is>
      </c>
      <c r="E114" s="14" t="n">
        <v>4</v>
      </c>
      <c r="F114" s="11" t="inlineStr"/>
      <c r="G114" s="11" t="inlineStr"/>
      <c r="H114" s="11" t="inlineStr">
        <is>
          <t>o modelo nao sabe descrever este item para um fornecedor</t>
        </is>
      </c>
      <c r="I114" s="18" t="inlineStr">
        <is>
          <t>com lacuna</t>
        </is>
      </c>
    </row>
    <row r="115">
      <c r="A115" s="9" t="inlineStr">
        <is>
          <t>EXT-PISC-CABO</t>
        </is>
      </c>
      <c r="B115" s="10" t="inlineStr">
        <is>
          <t>externo</t>
        </is>
      </c>
      <c r="C115" s="11" t="inlineStr">
        <is>
          <t>Piscina: cabo 12 V dos LEDs</t>
        </is>
      </c>
      <c r="D115" s="10" t="inlineStr">
        <is>
          <t>m</t>
        </is>
      </c>
      <c r="E115" s="14" t="n">
        <v>34.5</v>
      </c>
      <c r="F115" s="11" t="inlineStr"/>
      <c r="G115" s="11" t="inlineStr"/>
      <c r="H115" s="11" t="inlineStr">
        <is>
          <t>o modelo nao sabe descrever este item para um fornecedor</t>
        </is>
      </c>
      <c r="I115" s="18" t="inlineStr">
        <is>
          <t>com lacuna</t>
        </is>
      </c>
    </row>
    <row r="116">
      <c r="A116" s="9" t="inlineStr">
        <is>
          <t>EXT-PISC-CXP</t>
        </is>
      </c>
      <c r="B116" s="10" t="inlineStr">
        <is>
          <t>externo</t>
        </is>
      </c>
      <c r="C116" s="11" t="inlineStr">
        <is>
          <t>Piscina: caixa de passagem estanque no deck</t>
        </is>
      </c>
      <c r="D116" s="10" t="inlineStr">
        <is>
          <t>un</t>
        </is>
      </c>
      <c r="E116" s="14" t="n">
        <v>3</v>
      </c>
      <c r="F116" s="11" t="inlineStr"/>
      <c r="G116" s="11" t="inlineStr"/>
      <c r="H116" s="11" t="inlineStr">
        <is>
          <t>o modelo nao sabe descrever este item para um fornecedor</t>
        </is>
      </c>
      <c r="I116" s="18" t="inlineStr">
        <is>
          <t>com lacuna</t>
        </is>
      </c>
    </row>
    <row r="117">
      <c r="A117" s="9" t="inlineStr">
        <is>
          <t>EXT-PISC-ASP</t>
        </is>
      </c>
      <c r="B117" s="10" t="inlineStr">
        <is>
          <t>externo</t>
        </is>
      </c>
      <c r="C117" s="11" t="inlineStr">
        <is>
          <t>Piscina: tomada de aspiracao</t>
        </is>
      </c>
      <c r="D117" s="10" t="inlineStr">
        <is>
          <t>un</t>
        </is>
      </c>
      <c r="E117" s="14" t="n">
        <v>1</v>
      </c>
      <c r="F117" s="11" t="inlineStr"/>
      <c r="G117" s="11" t="inlineStr"/>
      <c r="H117" s="11" t="inlineStr">
        <is>
          <t>o modelo nao sabe descrever este item para um fornecedor</t>
        </is>
      </c>
      <c r="I117" s="18" t="inlineStr">
        <is>
          <t>com lacuna</t>
        </is>
      </c>
    </row>
    <row r="118">
      <c r="A118" s="9" t="inlineStr">
        <is>
          <t>MO-MON</t>
        </is>
      </c>
      <c r="B118" s="10" t="inlineStr">
        <is>
          <t>servico</t>
        </is>
      </c>
      <c r="C118" s="11" t="inlineStr">
        <is>
          <t>Mao de obra de montagem</t>
        </is>
      </c>
      <c r="D118" s="10" t="inlineStr">
        <is>
          <t>h</t>
        </is>
      </c>
      <c r="E118" s="14" t="n">
        <v>844.7</v>
      </c>
      <c r="F118" s="11" t="inlineStr">
        <is>
          <t>hora de equipe, com encargos e EPI</t>
        </is>
      </c>
      <c r="G118" s="11" t="inlineStr"/>
      <c r="H118" s="11" t="inlineStr">
        <is>
          <t>convencao coletiva vigente e composicao de encargos</t>
        </is>
      </c>
      <c r="I118" s="18" t="inlineStr">
        <is>
          <t>sim</t>
        </is>
      </c>
    </row>
    <row r="119">
      <c r="A119" s="9" t="inlineStr">
        <is>
          <t>MO-FAB</t>
        </is>
      </c>
      <c r="B119" s="10" t="inlineStr">
        <is>
          <t>servico</t>
        </is>
      </c>
      <c r="C119" s="11" t="inlineStr">
        <is>
          <t>Mao de obra de fabrica</t>
        </is>
      </c>
      <c r="D119" s="10" t="inlineStr">
        <is>
          <t>h</t>
        </is>
      </c>
      <c r="E119" s="14" t="n">
        <v>50</v>
      </c>
      <c r="F119" s="11" t="inlineStr">
        <is>
          <t>hora de equipe, com encargos e EPI</t>
        </is>
      </c>
      <c r="G119" s="11" t="inlineStr"/>
      <c r="H119" s="11" t="inlineStr">
        <is>
          <t>convencao coletiva vigente e composicao de encargos</t>
        </is>
      </c>
      <c r="I119" s="18" t="inlineStr">
        <is>
          <t>sim</t>
        </is>
      </c>
    </row>
    <row r="120">
      <c r="A120" s="9" t="inlineStr">
        <is>
          <t>MAR-ARM</t>
        </is>
      </c>
      <c r="B120" s="10" t="inlineStr">
        <is>
          <t>marcenaria</t>
        </is>
      </c>
      <c r="C120" s="11" t="inlineStr">
        <is>
          <t>Armario de MDF sob medida (frente)</t>
        </is>
      </c>
      <c r="D120" s="10" t="inlineStr">
        <is>
          <t>m2</t>
        </is>
      </c>
      <c r="E120" s="14" t="n">
        <v>48.64</v>
      </c>
      <c r="F120" s="11" t="inlineStr">
        <is>
          <t>marcenaria sob medida conforme planta de layout; MDF 18 mm com acabamento em laminado ou pintura PU; ferragem com amortecedor</t>
        </is>
      </c>
      <c r="G120" s="11" t="inlineStr"/>
      <c r="H120" s="11" t="inlineStr">
        <is>
          <t>desenho executivo de marcenaria: a planta da a extensao e a profundidade, nao o interior do movel</t>
        </is>
      </c>
      <c r="I120" s="18" t="inlineStr">
        <is>
          <t>sim</t>
        </is>
      </c>
    </row>
    <row r="121">
      <c r="A121" s="9" t="inlineStr">
        <is>
          <t>REV-PISO</t>
        </is>
      </c>
      <c r="B121" s="10" t="inlineStr">
        <is>
          <t>revestimento</t>
        </is>
      </c>
      <c r="C121" s="11" t="inlineStr">
        <is>
          <t>Piso interno (porcelanato retificado)</t>
        </is>
      </c>
      <c r="D121" s="10" t="inlineStr">
        <is>
          <t>m2</t>
        </is>
      </c>
      <c r="E121" s="14" t="n">
        <v>355.6</v>
      </c>
      <c r="F121" s="11" t="inlineStr">
        <is>
          <t>revestimento ceramico conforme quadro de acabamentos por ambiente; area ja com 10 % de perda de corte e quebra</t>
        </is>
      </c>
      <c r="G121" s="11" t="inlineStr">
        <is>
          <t>NBR 13818, NBR 15463</t>
        </is>
      </c>
      <c r="H121" s="11" t="inlineStr">
        <is>
          <t>linha, formato e PEI: o modelo define o TIPO por ambiente, a linha e escolha de acabamento</t>
        </is>
      </c>
      <c r="I121" s="18" t="inlineStr">
        <is>
          <t>sim</t>
        </is>
      </c>
    </row>
    <row r="122">
      <c r="A122" s="9" t="inlineStr">
        <is>
          <t>FV-MODULO</t>
        </is>
      </c>
      <c r="B122" s="10" t="inlineStr">
        <is>
          <t>eletrica</t>
        </is>
      </c>
      <c r="C122" s="11" t="inlineStr">
        <is>
          <t>Modulo fotovoltaico 550 Wp</t>
        </is>
      </c>
      <c r="D122" s="10" t="inlineStr">
        <is>
          <t>un</t>
        </is>
      </c>
      <c r="E122" s="14" t="n">
        <v>29</v>
      </c>
      <c r="F122" s="11" t="inlineStr">
        <is>
          <t>sistema fotovoltaico conectado a rede (on-grid), microgeracao REN ANEEL 1.000/2021; modulos monocristalinos, inversor string trifasico com monitoramento</t>
        </is>
      </c>
      <c r="G122" s="11" t="inlineStr">
        <is>
          <t>NBR 16274, NBR 16690, Portaria INMETRO 140/2022</t>
        </is>
      </c>
      <c r="H122" s="11" t="inlineStr">
        <is>
          <t>marca e modelo de modulo e inversor; a potencia e a area estao dimensionadas, o produto e cotacao</t>
        </is>
      </c>
      <c r="I122" s="18" t="inlineStr">
        <is>
          <t>sim</t>
        </is>
      </c>
    </row>
    <row r="123">
      <c r="A123" s="9" t="inlineStr">
        <is>
          <t>PIN-PAREDE</t>
        </is>
      </c>
      <c r="B123" s="10" t="inlineStr">
        <is>
          <t>pintura</t>
        </is>
      </c>
      <c r="C123" s="11" t="inlineStr">
        <is>
          <t>Pintura de parede interna (latex acrilico, 2 demaos)</t>
        </is>
      </c>
      <c r="D123" s="10" t="inlineStr">
        <is>
          <t>m2</t>
        </is>
      </c>
      <c r="E123" s="14" t="n">
        <v>640.8</v>
      </c>
      <c r="F123" s="11" t="inlineStr">
        <is>
          <t>tinta e mao de obra conforme especificacao de acabamento; 2 demaos sobre selador; rendimento declarado na quantidade</t>
        </is>
      </c>
      <c r="G123" s="11" t="inlineStr">
        <is>
          <t>NBR 11702, NBR 13245</t>
        </is>
      </c>
      <c r="H123" s="11" t="inlineStr"/>
      <c r="I123" s="18" t="inlineStr">
        <is>
          <t>sim</t>
        </is>
      </c>
    </row>
    <row r="124">
      <c r="A124" s="9" t="inlineStr">
        <is>
          <t>MAR-GAB</t>
        </is>
      </c>
      <c r="B124" s="10" t="inlineStr">
        <is>
          <t>marcenaria</t>
        </is>
      </c>
      <c r="C124" s="11" t="inlineStr">
        <is>
          <t>Gabinete sob bancada, sob medida</t>
        </is>
      </c>
      <c r="D124" s="10" t="inlineStr">
        <is>
          <t>m</t>
        </is>
      </c>
      <c r="E124" s="14" t="n">
        <v>11.4</v>
      </c>
      <c r="F124" s="11" t="inlineStr">
        <is>
          <t>marcenaria sob medida conforme planta de layout; MDF 18 mm com acabamento em laminado ou pintura PU; ferragem com amortecedor</t>
        </is>
      </c>
      <c r="G124" s="11" t="inlineStr"/>
      <c r="H124" s="11" t="inlineStr">
        <is>
          <t>desenho executivo de marcenaria: a planta da a extensao e a profundidade, nao o interior do movel</t>
        </is>
      </c>
      <c r="I124" s="18" t="inlineStr">
        <is>
          <t>sim</t>
        </is>
      </c>
    </row>
    <row r="125">
      <c r="A125" s="9" t="inlineStr">
        <is>
          <t>REV-PAREDE</t>
        </is>
      </c>
      <c r="B125" s="10" t="inlineStr">
        <is>
          <t>revestimento</t>
        </is>
      </c>
      <c r="C125" s="11" t="inlineStr">
        <is>
          <t>Revestimento ceramico de parede em area molhada</t>
        </is>
      </c>
      <c r="D125" s="10" t="inlineStr">
        <is>
          <t>m2</t>
        </is>
      </c>
      <c r="E125" s="14" t="n">
        <v>155.5</v>
      </c>
      <c r="F125" s="11" t="inlineStr">
        <is>
          <t>revestimento ceramico conforme quadro de acabamentos por ambiente; area ja com 10 % de perda de corte e quebra</t>
        </is>
      </c>
      <c r="G125" s="11" t="inlineStr">
        <is>
          <t>NBR 13818, NBR 15463</t>
        </is>
      </c>
      <c r="H125" s="11" t="inlineStr">
        <is>
          <t>linha, formato e PEI: o modelo define o TIPO por ambiente, a linha e escolha de acabamento</t>
        </is>
      </c>
      <c r="I125" s="18" t="inlineStr">
        <is>
          <t>sim</t>
        </is>
      </c>
    </row>
    <row r="126">
      <c r="A126" s="9" t="inlineStr">
        <is>
          <t>EQP-SPLIT18</t>
        </is>
      </c>
      <c r="B126" s="10" t="inlineStr">
        <is>
          <t>equipamentos</t>
        </is>
      </c>
      <c r="C126" s="11" t="inlineStr">
        <is>
          <t>Split inverter 18.000 BTU/h</t>
        </is>
      </c>
      <c r="D126" s="10" t="inlineStr">
        <is>
          <t>un</t>
        </is>
      </c>
      <c r="E126" s="14" t="n">
        <v>4</v>
      </c>
      <c r="F126" s="11" t="inlineStr">
        <is>
          <t>equipamento novo, com garantia de fabrica e instalacao por credenciado; inverter, ciclo frio, R-32 ou R-410A, classe A</t>
        </is>
      </c>
      <c r="G126" s="11" t="inlineStr">
        <is>
          <t>NBR 16401, Portaria INMETRO de eficiencia</t>
        </is>
      </c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LOU-BOX</t>
        </is>
      </c>
      <c r="B127" s="10" t="inlineStr">
        <is>
          <t>loucas</t>
        </is>
      </c>
      <c r="C127" s="11" t="inlineStr">
        <is>
          <t>Box de vidro temperado 8 mm, 1.900 mm de altura</t>
        </is>
      </c>
      <c r="D127" s="10" t="inlineStr">
        <is>
          <t>m2</t>
        </is>
      </c>
      <c r="E127" s="14" t="n">
        <v>16.1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REV-ARG</t>
        </is>
      </c>
      <c r="B128" s="10" t="inlineStr">
        <is>
          <t>revestimento</t>
        </is>
      </c>
      <c r="C128" s="11" t="inlineStr">
        <is>
          <t>Argamassa colante AC-III e regularizacao</t>
        </is>
      </c>
      <c r="D128" s="10" t="inlineStr">
        <is>
          <t>m2</t>
        </is>
      </c>
      <c r="E128" s="14" t="n">
        <v>511.1</v>
      </c>
      <c r="F128" s="11" t="inlineStr">
        <is>
          <t>revestimento ceramico conforme quadro de acabamentos por ambiente; area ja com 10 % de perda de corte e quebra</t>
        </is>
      </c>
      <c r="G128" s="11" t="inlineStr">
        <is>
          <t>NBR 13818, NBR 15463</t>
        </is>
      </c>
      <c r="H128" s="11" t="inlineStr">
        <is>
          <t>linha, formato e PEI: o modelo define o TIPO por ambiente, a linha e escolha de acabamento</t>
        </is>
      </c>
      <c r="I128" s="18" t="inlineStr">
        <is>
          <t>sim</t>
        </is>
      </c>
    </row>
    <row r="129">
      <c r="A129" s="9" t="inlineStr">
        <is>
          <t>MAR-PRAT</t>
        </is>
      </c>
      <c r="B129" s="10" t="inlineStr">
        <is>
          <t>marcenaria</t>
        </is>
      </c>
      <c r="C129" s="11" t="inlineStr">
        <is>
          <t>Prateleira aberta, por metro de prateleira</t>
        </is>
      </c>
      <c r="D129" s="10" t="inlineStr">
        <is>
          <t>m</t>
        </is>
      </c>
      <c r="E129" s="14" t="n">
        <v>35.19</v>
      </c>
      <c r="F129" s="11" t="inlineStr">
        <is>
          <t>marcenaria sob medida conforme planta de layout; MDF 18 mm com acabamento em laminado ou pintura PU; ferragem com amortecedor</t>
        </is>
      </c>
      <c r="G129" s="11" t="inlineStr"/>
      <c r="H129" s="11" t="inlineStr">
        <is>
          <t>desenho executivo de marcenaria: a planta da a extensao e a profundidade, nao o interior do movel</t>
        </is>
      </c>
      <c r="I129" s="18" t="inlineStr">
        <is>
          <t>sim</t>
        </is>
      </c>
    </row>
    <row r="130">
      <c r="A130" s="9" t="inlineStr">
        <is>
          <t>FV-INSTAL</t>
        </is>
      </c>
      <c r="B130" s="10" t="inlineStr">
        <is>
          <t>eletrica</t>
        </is>
      </c>
      <c r="C130" s="11" t="inlineStr">
        <is>
          <t>Instalacao e comissionamento</t>
        </is>
      </c>
      <c r="D130" s="10" t="inlineStr">
        <is>
          <t>kWp</t>
        </is>
      </c>
      <c r="E130" s="14" t="n">
        <v>15.95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MAR-TAMPO</t>
        </is>
      </c>
      <c r="B131" s="10" t="inlineStr">
        <is>
          <t>marcenaria</t>
        </is>
      </c>
      <c r="C131" s="11" t="inlineStr">
        <is>
          <t>Tampo de bancada (quartzo/granito)</t>
        </is>
      </c>
      <c r="D131" s="10" t="inlineStr">
        <is>
          <t>m2</t>
        </is>
      </c>
      <c r="E131" s="14" t="n">
        <v>6.84</v>
      </c>
      <c r="F131" s="11" t="inlineStr">
        <is>
          <t>marcenaria sob medida conforme planta de layout; MDF 18 mm com acabamento em laminado ou pintura PU; ferragem com amortecedor</t>
        </is>
      </c>
      <c r="G131" s="11" t="inlineStr"/>
      <c r="H131" s="11" t="inlineStr">
        <is>
          <t>desenho executivo de marcenaria: a planta da a extensao e a profundidade, nao o interior do movel</t>
        </is>
      </c>
      <c r="I131" s="18" t="inlineStr">
        <is>
          <t>sim</t>
        </is>
      </c>
    </row>
    <row r="132">
      <c r="A132" s="9" t="inlineStr">
        <is>
          <t>FV-ESTRUTURA</t>
        </is>
      </c>
      <c r="B132" s="10" t="inlineStr">
        <is>
          <t>eletrica</t>
        </is>
      </c>
      <c r="C132" s="11" t="inlineStr">
        <is>
          <t>Estrutura de fixacao em aluminio sobre terca</t>
        </is>
      </c>
      <c r="D132" s="10" t="inlineStr">
        <is>
          <t>m2</t>
        </is>
      </c>
      <c r="E132" s="14" t="n">
        <v>86.2</v>
      </c>
      <c r="F132" s="11" t="inlineStr">
        <is>
          <t>sistema fotovoltaico conectado a rede (on-grid), microgeracao REN ANEEL 1.000/2021; modulos monocristalinos, inversor string trifasico com monitoramento</t>
        </is>
      </c>
      <c r="G132" s="11" t="inlineStr">
        <is>
          <t>NBR 16274, NBR 16690, Portaria INMETRO 140/2022</t>
        </is>
      </c>
      <c r="H132" s="11" t="inlineStr">
        <is>
          <t>marca e modelo de modulo e inversor; a potencia e a area estao dimensionadas, o produto e cotacao</t>
        </is>
      </c>
      <c r="I132" s="18" t="inlineStr">
        <is>
          <t>sim</t>
        </is>
      </c>
    </row>
    <row r="133">
      <c r="A133" s="9" t="inlineStr">
        <is>
          <t>PIN-TINTA</t>
        </is>
      </c>
      <c r="B133" s="10" t="inlineStr">
        <is>
          <t>pintura</t>
        </is>
      </c>
      <c r="C133" s="11" t="inlineStr">
        <is>
          <t>Tinta latex (2 demaos, rendimento 10 m2/L)</t>
        </is>
      </c>
      <c r="D133" s="10" t="inlineStr">
        <is>
          <t>L</t>
        </is>
      </c>
      <c r="E133" s="14" t="n">
        <v>179.6</v>
      </c>
      <c r="F133" s="11" t="inlineStr">
        <is>
          <t>tinta e mao de obra conforme especificacao de acabamento; 2 demaos sobre selador; rendimento declarado na quantidade</t>
        </is>
      </c>
      <c r="G133" s="11" t="inlineStr">
        <is>
          <t>NBR 11702, NBR 13245</t>
        </is>
      </c>
      <c r="H133" s="11" t="inlineStr"/>
      <c r="I133" s="18" t="inlineStr">
        <is>
          <t>sim</t>
        </is>
      </c>
    </row>
    <row r="134">
      <c r="A134" s="9" t="inlineStr">
        <is>
          <t>REV-RODAPE</t>
        </is>
      </c>
      <c r="B134" s="10" t="inlineStr">
        <is>
          <t>revestimento</t>
        </is>
      </c>
      <c r="C134" s="11" t="inlineStr">
        <is>
          <t>Rodape (poliestireno 100 mm, pintado)</t>
        </is>
      </c>
      <c r="D134" s="10" t="inlineStr">
        <is>
          <t>m</t>
        </is>
      </c>
      <c r="E134" s="14" t="n">
        <v>220.9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FV-INVERSOR</t>
        </is>
      </c>
      <c r="B135" s="10" t="inlineStr">
        <is>
          <t>eletrica</t>
        </is>
      </c>
      <c r="C135" s="11" t="inlineStr">
        <is>
          <t>Inversor string 12 kW, trifasico 220 V</t>
        </is>
      </c>
      <c r="D135" s="10" t="inlineStr">
        <is>
          <t>kW</t>
        </is>
      </c>
      <c r="E135" s="14" t="n">
        <v>12</v>
      </c>
      <c r="F135" s="11" t="inlineStr">
        <is>
          <t>sistema fotovoltaico conectado a rede (on-grid), microgeracao REN ANEEL 1.000/2021; modulos monocristalinos, inversor string trifasico com monitoramento</t>
        </is>
      </c>
      <c r="G135" s="11" t="inlineStr">
        <is>
          <t>NBR 16274, NBR 16690, Portaria INMETRO 140/2022</t>
        </is>
      </c>
      <c r="H135" s="11" t="inlineStr">
        <is>
          <t>marca e modelo de modulo e inversor; a potencia e a area estao dimensionadas, o produto e cotacao</t>
        </is>
      </c>
      <c r="I135" s="18" t="inlineStr">
        <is>
          <t>sim</t>
        </is>
      </c>
    </row>
    <row r="136">
      <c r="A136" s="9" t="inlineStr">
        <is>
          <t>MAR-CABEC</t>
        </is>
      </c>
      <c r="B136" s="10" t="inlineStr">
        <is>
          <t>marcenaria</t>
        </is>
      </c>
      <c r="C136" s="11" t="inlineStr">
        <is>
          <t>Cabeceira estofada</t>
        </is>
      </c>
      <c r="D136" s="10" t="inlineStr">
        <is>
          <t>m2</t>
        </is>
      </c>
      <c r="E136" s="14" t="n">
        <v>10.96</v>
      </c>
      <c r="F136" s="11" t="inlineStr">
        <is>
          <t>marcenaria sob medida conforme planta de layout; MDF 18 mm com acabamento em laminado ou pintura PU; ferragem com amortecedor</t>
        </is>
      </c>
      <c r="G136" s="11" t="inlineStr"/>
      <c r="H136" s="11" t="inlineStr">
        <is>
          <t>desenho executivo de marcenaria: a planta da a extensao e a profundidade, nao o interior do movel</t>
        </is>
      </c>
      <c r="I136" s="18" t="inlineStr">
        <is>
          <t>sim</t>
        </is>
      </c>
    </row>
    <row r="137">
      <c r="A137" s="9" t="inlineStr">
        <is>
          <t>PIN-FORRO</t>
        </is>
      </c>
      <c r="B137" s="10" t="inlineStr">
        <is>
          <t>pintura</t>
        </is>
      </c>
      <c r="C137" s="11" t="inlineStr">
        <is>
          <t>Pintura de forro (latex PVA fosco)</t>
        </is>
      </c>
      <c r="D137" s="10" t="inlineStr">
        <is>
          <t>m2</t>
        </is>
      </c>
      <c r="E137" s="14" t="n">
        <v>257</v>
      </c>
      <c r="F137" s="11" t="inlineStr">
        <is>
          <t>tinta e mao de obra conforme especificacao de acabamento; 2 demaos sobre selador; rendimento declarado na quantidade</t>
        </is>
      </c>
      <c r="G137" s="11" t="inlineStr">
        <is>
          <t>NBR 11702, NBR 13245</t>
        </is>
      </c>
      <c r="H137" s="11" t="inlineStr"/>
      <c r="I137" s="18" t="inlineStr">
        <is>
          <t>sim</t>
        </is>
      </c>
    </row>
    <row r="138">
      <c r="A138" s="9" t="inlineStr">
        <is>
          <t>EQP-SPLIT9</t>
        </is>
      </c>
      <c r="B138" s="10" t="inlineStr">
        <is>
          <t>equipamentos</t>
        </is>
      </c>
      <c r="C138" s="11" t="inlineStr">
        <is>
          <t>Split inverter 9.000 BTU/h</t>
        </is>
      </c>
      <c r="D138" s="10" t="inlineStr">
        <is>
          <t>un</t>
        </is>
      </c>
      <c r="E138" s="14" t="n">
        <v>3</v>
      </c>
      <c r="F138" s="11" t="inlineStr">
        <is>
          <t>equipamento novo, com garantia de fabrica e instalacao por credenciado; inverter, ciclo frio, R-32 ou R-410A, classe A</t>
        </is>
      </c>
      <c r="G138" s="11" t="inlineStr">
        <is>
          <t>NBR 16401, Portaria INMETRO de eficiencia</t>
        </is>
      </c>
      <c r="H138" s="11" t="inlineStr">
        <is>
          <t>marca e modelo: a capacidade esta dimensionada, a escolha do equipamento e do proprietario</t>
        </is>
      </c>
      <c r="I138" s="18" t="inlineStr">
        <is>
          <t>sim</t>
        </is>
      </c>
    </row>
    <row r="139">
      <c r="A139" s="9" t="inlineStr">
        <is>
          <t>SPD-CAPTOR</t>
        </is>
      </c>
      <c r="B139" s="10" t="inlineStr">
        <is>
          <t>eletrica</t>
        </is>
      </c>
      <c r="C139" s="11" t="inlineStr">
        <is>
          <t>Captor: cabo de aluminio 70 mm2 no perimetro da cobertura</t>
        </is>
      </c>
      <c r="D139" s="10" t="inlineStr">
        <is>
          <t>m</t>
        </is>
      </c>
      <c r="E139" s="14" t="n">
        <v>160.8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LUM-DOWNLIGHT18</t>
        </is>
      </c>
      <c r="B140" s="10" t="inlineStr">
        <is>
          <t>eletrica</t>
        </is>
      </c>
      <c r="C140" s="11" t="inlineStr">
        <is>
          <t>Downlight LED embutido 18 W</t>
        </is>
      </c>
      <c r="D140" s="10" t="inlineStr">
        <is>
          <t>un</t>
        </is>
      </c>
      <c r="E140" s="14" t="n">
        <v>45</v>
      </c>
      <c r="F14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0" s="11" t="inlineStr">
        <is>
          <t>NBR ISO/CIE 8995-1, Portaria INMETRO 20/2017 (LED)</t>
        </is>
      </c>
      <c r="H140" s="11" t="inlineStr">
        <is>
          <t>marca e modelo: o fluxo e a potencia de cada tipo estao declarados; o produto e escolha de acabamento</t>
        </is>
      </c>
      <c r="I140" s="18" t="inlineStr">
        <is>
          <t>sim</t>
        </is>
      </c>
    </row>
    <row r="141">
      <c r="A141" s="9" t="inlineStr">
        <is>
          <t>EQP-SPLIT30</t>
        </is>
      </c>
      <c r="B141" s="10" t="inlineStr">
        <is>
          <t>equipamentos</t>
        </is>
      </c>
      <c r="C141" s="11" t="inlineStr">
        <is>
          <t>Split inverter 30.000 BTU/h</t>
        </is>
      </c>
      <c r="D141" s="10" t="inlineStr">
        <is>
          <t>un</t>
        </is>
      </c>
      <c r="E141" s="14" t="n">
        <v>1</v>
      </c>
      <c r="F141" s="11" t="inlineStr">
        <is>
          <t>equipamento novo, com garantia de fabrica e instalacao por credenciado; inverter, ciclo frio, R-32 ou R-410A, classe A</t>
        </is>
      </c>
      <c r="G141" s="11" t="inlineStr">
        <is>
          <t>NBR 16401, Portaria INMETRO de eficiencia</t>
        </is>
      </c>
      <c r="H141" s="11" t="inlineStr">
        <is>
          <t>marca e modelo: a capacidade esta dimensionada, a escolha do equipamento e do proprietario</t>
        </is>
      </c>
      <c r="I141" s="18" t="inlineStr">
        <is>
          <t>sim</t>
        </is>
      </c>
    </row>
    <row r="142">
      <c r="A142" s="9" t="inlineStr">
        <is>
          <t>LUM-DOWNLIGHT24</t>
        </is>
      </c>
      <c r="B142" s="10" t="inlineStr">
        <is>
          <t>eletrica</t>
        </is>
      </c>
      <c r="C142" s="11" t="inlineStr">
        <is>
          <t>Downlight LED embutido 24 W</t>
        </is>
      </c>
      <c r="D142" s="10" t="inlineStr">
        <is>
          <t>un</t>
        </is>
      </c>
      <c r="E142" s="14" t="n">
        <v>31</v>
      </c>
      <c r="F14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2" s="11" t="inlineStr">
        <is>
          <t>NBR ISO/CIE 8995-1, Portaria INMETRO 20/2017 (LED)</t>
        </is>
      </c>
      <c r="H142" s="11" t="inlineStr">
        <is>
          <t>marca e modelo: o fluxo e a potencia de cada tipo estao declarados; o produto e escolha de acabamento</t>
        </is>
      </c>
      <c r="I142" s="18" t="inlineStr">
        <is>
          <t>sim</t>
        </is>
      </c>
    </row>
    <row r="143">
      <c r="A143" s="9" t="inlineStr">
        <is>
          <t>MAR-CORT</t>
        </is>
      </c>
      <c r="B143" s="10" t="inlineStr">
        <is>
          <t>marcenaria</t>
        </is>
      </c>
      <c r="C143" s="11" t="inlineStr">
        <is>
          <t>Cortina blackout com trilho, dormitorios</t>
        </is>
      </c>
      <c r="D143" s="10" t="inlineStr">
        <is>
          <t>m</t>
        </is>
      </c>
      <c r="E143" s="14" t="n">
        <v>13.2</v>
      </c>
      <c r="F143" s="11" t="inlineStr">
        <is>
          <t>marcenaria sob medida conforme planta de layout; MDF 18 mm com acabamento em laminado ou pintura PU; ferragem com amortecedor</t>
        </is>
      </c>
      <c r="G143" s="11" t="inlineStr"/>
      <c r="H143" s="11" t="inlineStr">
        <is>
          <t>desenho executivo de marcenaria: a planta da a extensao e a profundidade, nao o interior do movel</t>
        </is>
      </c>
      <c r="I143" s="18" t="inlineStr">
        <is>
          <t>sim</t>
        </is>
      </c>
    </row>
    <row r="144">
      <c r="A144" s="9" t="inlineStr">
        <is>
          <t>REV-REJ</t>
        </is>
      </c>
      <c r="B144" s="10" t="inlineStr">
        <is>
          <t>revestimento</t>
        </is>
      </c>
      <c r="C144" s="11" t="inlineStr">
        <is>
          <t>Rejunte epoxi/acrilico</t>
        </is>
      </c>
      <c r="D144" s="10" t="inlineStr">
        <is>
          <t>m2</t>
        </is>
      </c>
      <c r="E144" s="14" t="n">
        <v>511.1</v>
      </c>
      <c r="F144" s="11" t="inlineStr">
        <is>
          <t>revestimento ceramico conforme quadro de acabamentos por ambiente; area ja com 10 % de perda de corte e quebra</t>
        </is>
      </c>
      <c r="G144" s="11" t="inlineStr">
        <is>
          <t>NBR 13818, NBR 15463</t>
        </is>
      </c>
      <c r="H144" s="11" t="inlineStr">
        <is>
          <t>linha, formato e PEI: o modelo define o TIPO por ambiente, a linha e escolha de acabamento</t>
        </is>
      </c>
      <c r="I144" s="18" t="inlineStr">
        <is>
          <t>sim</t>
        </is>
      </c>
    </row>
    <row r="145">
      <c r="A145" s="9" t="inlineStr">
        <is>
          <t>LOU-VASO</t>
        </is>
      </c>
      <c r="B145" s="10" t="inlineStr">
        <is>
          <t>loucas</t>
        </is>
      </c>
      <c r="C145" s="11" t="inlineStr">
        <is>
          <t>Bacia sanitaria com caixa acoplada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LUM-LINEAR</t>
        </is>
      </c>
      <c r="B146" s="10" t="inlineStr">
        <is>
          <t>eletrica</t>
        </is>
      </c>
      <c r="C146" s="11" t="inlineStr">
        <is>
          <t>Perfil linear LED 18 W/m com difusor (tarefa)</t>
        </is>
      </c>
      <c r="D146" s="10" t="inlineStr">
        <is>
          <t>m</t>
        </is>
      </c>
      <c r="E146" s="14" t="n">
        <v>15.6</v>
      </c>
      <c r="F14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6" s="11" t="inlineStr">
        <is>
          <t>NBR ISO/CIE 8995-1, Portaria INMETRO 20/2017 (LED)</t>
        </is>
      </c>
      <c r="H146" s="11" t="inlineStr">
        <is>
          <t>marca e modelo: o fluxo e a potencia de cada tipo estao declarados; o produto e escolha de acabamento</t>
        </is>
      </c>
      <c r="I146" s="18" t="inlineStr">
        <is>
          <t>sim</t>
        </is>
      </c>
    </row>
    <row r="147">
      <c r="A147" s="9" t="inlineStr">
        <is>
          <t>MET-TORN</t>
        </is>
      </c>
      <c r="B147" s="10" t="inlineStr">
        <is>
          <t>loucas</t>
        </is>
      </c>
      <c r="C147" s="11" t="inlineStr">
        <is>
          <t>Torneira de bancada (lavatorio e cuba)</t>
        </is>
      </c>
      <c r="D147" s="10" t="inlineStr">
        <is>
          <t>un</t>
        </is>
      </c>
      <c r="E147" s="14" t="n">
        <v>9</v>
      </c>
      <c r="F147" s="11" t="inlineStr">
        <is>
          <t>louca / metal sanitario de linha comercial, cor branca para louca e acabamento cromado para metal; quantidade contada das pecas LOCADAS em planta, nao estimada por comodo</t>
        </is>
      </c>
      <c r="G147" s="11" t="inlineStr">
        <is>
          <t>NBR 15097, NBR 15705</t>
        </is>
      </c>
      <c r="H147" s="11" t="inlineStr">
        <is>
          <t>linha e fabricante: louca e metal sao decisao de acabamento do proprietario, e a mesma peca varia 3x de preco entre linhas</t>
        </is>
      </c>
      <c r="I147" s="18" t="inlineStr">
        <is>
          <t>sim</t>
        </is>
      </c>
    </row>
    <row r="148">
      <c r="A148" s="9" t="inlineStr">
        <is>
          <t>SPD-ANEL</t>
        </is>
      </c>
      <c r="B148" s="10" t="inlineStr">
        <is>
          <t>eletrica</t>
        </is>
      </c>
      <c r="C148" s="11" t="inlineStr">
        <is>
          <t>Anel de aterramento: cobre nu 50 mm2 no perimetro do radier</t>
        </is>
      </c>
      <c r="D148" s="10" t="inlineStr">
        <is>
          <t>m</t>
        </is>
      </c>
      <c r="E148" s="14" t="n">
        <v>63.6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REV-FORRO-ACUST</t>
        </is>
      </c>
      <c r="B149" s="10" t="inlineStr">
        <is>
          <t>revestimento</t>
        </is>
      </c>
      <c r="C149" s="11" t="inlineStr">
        <is>
          <t>Forro absorvente perfurado (alfa 0,70), acabado de fabrica</t>
        </is>
      </c>
      <c r="D149" s="10" t="inlineStr">
        <is>
          <t>m2</t>
        </is>
      </c>
      <c r="E149" s="14" t="n">
        <v>30.2</v>
      </c>
      <c r="F149" s="11" t="inlineStr">
        <is>
          <t>revestimento ceramico conforme quadro de acabamentos por ambiente; area ja com 10 % de perda de corte e quebra</t>
        </is>
      </c>
      <c r="G149" s="11" t="inlineStr">
        <is>
          <t>NBR 13818, NBR 15463</t>
        </is>
      </c>
      <c r="H149" s="11" t="inlineStr">
        <is>
          <t>linha, formato e PEI: o modelo define o TIPO por ambiente, a linha e escolha de acabamento</t>
        </is>
      </c>
      <c r="I149" s="18" t="inlineStr">
        <is>
          <t>sim</t>
        </is>
      </c>
    </row>
    <row r="150">
      <c r="A150" s="9" t="inlineStr">
        <is>
          <t>MAR-PAINEL</t>
        </is>
      </c>
      <c r="B150" s="10" t="inlineStr">
        <is>
          <t>marcenaria</t>
        </is>
      </c>
      <c r="C150" s="11" t="inlineStr">
        <is>
          <t>Painel ripado de TV</t>
        </is>
      </c>
      <c r="D150" s="10" t="inlineStr">
        <is>
          <t>m2</t>
        </is>
      </c>
      <c r="E150" s="14" t="n">
        <v>6.71</v>
      </c>
      <c r="F150" s="11" t="inlineStr">
        <is>
          <t>marcenaria sob medida conforme planta de layout; MDF 18 mm com acabamento em laminado ou pintura PU; ferragem com amortecedor</t>
        </is>
      </c>
      <c r="G150" s="11" t="inlineStr"/>
      <c r="H150" s="11" t="inlineStr">
        <is>
          <t>desenho executivo de marcenaria: a planta da a extensao e a profundidade, nao o interior do movel</t>
        </is>
      </c>
      <c r="I150" s="18" t="inlineStr">
        <is>
          <t>sim</t>
        </is>
      </c>
    </row>
    <row r="151">
      <c r="A151" s="9" t="inlineStr">
        <is>
          <t>EQP-PISC</t>
        </is>
      </c>
      <c r="B151" s="10" t="inlineStr">
        <is>
          <t>equipamentos</t>
        </is>
      </c>
      <c r="C151" s="11" t="inlineStr">
        <is>
          <t>Conjunto da piscina: bomba, filtro e tratamento</t>
        </is>
      </c>
      <c r="D151" s="10" t="inlineStr">
        <is>
          <t>cj</t>
        </is>
      </c>
      <c r="E151" s="14" t="n">
        <v>1</v>
      </c>
      <c r="F151" s="11" t="inlineStr">
        <is>
          <t>equipamento novo, com garantia de fabrica e instalacao por credenciado</t>
        </is>
      </c>
      <c r="G151" s="11" t="inlineStr"/>
      <c r="H151" s="11" t="inlineStr">
        <is>
          <t>marca e modelo: a capacidade esta dimensionada, a escolha do equipamento e do proprietario</t>
        </is>
      </c>
      <c r="I151" s="18" t="inlineStr">
        <is>
          <t>sim</t>
        </is>
      </c>
    </row>
    <row r="152">
      <c r="A152" s="9" t="inlineStr">
        <is>
          <t>LOU-LAV</t>
        </is>
      </c>
      <c r="B152" s="10" t="inlineStr">
        <is>
          <t>loucas</t>
        </is>
      </c>
      <c r="C152" s="11" t="inlineStr">
        <is>
          <t>Lavatorio / cuba de banheiro</t>
        </is>
      </c>
      <c r="D152" s="10" t="inlineStr">
        <is>
          <t>un</t>
        </is>
      </c>
      <c r="E152" s="14" t="n">
        <v>6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EQP-PORTAO</t>
        </is>
      </c>
      <c r="B153" s="10" t="inlineStr">
        <is>
          <t>equipamentos</t>
        </is>
      </c>
      <c r="C153" s="11" t="inlineStr">
        <is>
          <t>Automatizador de portao de correr</t>
        </is>
      </c>
      <c r="D153" s="10" t="inlineStr">
        <is>
          <t>un</t>
        </is>
      </c>
      <c r="E153" s="14" t="n">
        <v>1</v>
      </c>
      <c r="F153" s="11" t="inlineStr">
        <is>
          <t>equipamento novo, com garantia de fabrica e instalacao por credenciado</t>
        </is>
      </c>
      <c r="G153" s="11" t="inlineStr"/>
      <c r="H153" s="11" t="inlineStr">
        <is>
          <t>marca e modelo: a capacidade esta dimensionada, a escolha do equipamento e do proprietario</t>
        </is>
      </c>
      <c r="I153" s="18" t="inlineStr">
        <is>
          <t>sim</t>
        </is>
      </c>
    </row>
    <row r="154">
      <c r="A154" s="9" t="inlineStr">
        <is>
          <t>MET-ACESS</t>
        </is>
      </c>
      <c r="B154" s="10" t="inlineStr">
        <is>
          <t>loucas</t>
        </is>
      </c>
      <c r="C154" s="11" t="inlineStr">
        <is>
          <t>Acessorios (papeleira, cabide, saboneteira, toalheiro)</t>
        </is>
      </c>
      <c r="D154" s="10" t="inlineStr">
        <is>
          <t>un</t>
        </is>
      </c>
      <c r="E154" s="14" t="n">
        <v>28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ELE-TUG</t>
        </is>
      </c>
      <c r="B155" s="10" t="inlineStr">
        <is>
          <t>eletrica</t>
        </is>
      </c>
      <c r="C155" s="11" t="inlineStr">
        <is>
          <t>Tomada 2P+T 10 A com placa</t>
        </is>
      </c>
      <c r="D155" s="10" t="inlineStr">
        <is>
          <t>un</t>
        </is>
      </c>
      <c r="E155" s="14" t="n">
        <v>82</v>
      </c>
      <c r="F155" s="11" t="inlineStr">
        <is>
          <t>dispositivo de embutir em caixa 4x2 / 4x4, linha unica em toda a casa; tensao 127 V para TUG e 220 V para TUE, conforme esquema declarado no projeto</t>
        </is>
      </c>
      <c r="G155" s="11" t="inlineStr">
        <is>
          <t>NBR 14136, NBR 5410</t>
        </is>
      </c>
      <c r="H155" s="11" t="inlineStr"/>
      <c r="I155" s="18" t="inlineStr">
        <is>
          <t>sim</t>
        </is>
      </c>
    </row>
    <row r="156">
      <c r="A156" s="9" t="inlineStr">
        <is>
          <t>PIN-SELADOR</t>
        </is>
      </c>
      <c r="B156" s="10" t="inlineStr">
        <is>
          <t>pintura</t>
        </is>
      </c>
      <c r="C156" s="11" t="inlineStr">
        <is>
          <t>Selador acrilico</t>
        </is>
      </c>
      <c r="D156" s="10" t="inlineStr">
        <is>
          <t>L</t>
        </is>
      </c>
      <c r="E156" s="14" t="n">
        <v>74.8</v>
      </c>
      <c r="F156" s="11" t="inlineStr">
        <is>
          <t>tinta e mao de obra conforme especificacao de acabamento; 2 demaos sobre selador; rendimento declarado na quantidade</t>
        </is>
      </c>
      <c r="G156" s="11" t="inlineStr">
        <is>
          <t>NBR 11702, NBR 13245</t>
        </is>
      </c>
      <c r="H156" s="11" t="inlineStr"/>
      <c r="I156" s="18" t="inlineStr">
        <is>
          <t>sim</t>
        </is>
      </c>
    </row>
    <row r="157">
      <c r="A157" s="9" t="inlineStr">
        <is>
          <t>LOU-CUBA</t>
        </is>
      </c>
      <c r="B157" s="10" t="inlineStr">
        <is>
          <t>loucas</t>
        </is>
      </c>
      <c r="C157" s="11" t="inlineStr">
        <is>
          <t>Cuba de cozinha / gourmet / lavanderia em inox</t>
        </is>
      </c>
      <c r="D157" s="10" t="inlineStr">
        <is>
          <t>un</t>
        </is>
      </c>
      <c r="E157" s="14" t="n">
        <v>3</v>
      </c>
      <c r="F157" s="11" t="inlineStr">
        <is>
          <t>louca / metal sanitario de linha comercial, cor branca para louca e acabamento cromado para metal; quantidade contada das pecas LOCADAS em planta, nao estimada por comodo</t>
        </is>
      </c>
      <c r="G157" s="11" t="inlineStr">
        <is>
          <t>NBR 15097, NBR 15705</t>
        </is>
      </c>
      <c r="H157" s="11" t="inlineStr">
        <is>
          <t>linha e fabricante: louca e metal sao decisao de acabamento do proprietario, e a mesma peca varia 3x de preco entre linhas</t>
        </is>
      </c>
      <c r="I157" s="18" t="inlineStr">
        <is>
          <t>sim</t>
        </is>
      </c>
    </row>
    <row r="158">
      <c r="A158" s="9" t="inlineStr">
        <is>
          <t>EQP-EXAUST</t>
        </is>
      </c>
      <c r="B158" s="10" t="inlineStr">
        <is>
          <t>equipamentos</t>
        </is>
      </c>
      <c r="C158" s="11" t="inlineStr">
        <is>
          <t>Exaustor / coifa</t>
        </is>
      </c>
      <c r="D158" s="10" t="inlineStr">
        <is>
          <t>un</t>
        </is>
      </c>
      <c r="E158" s="14" t="n">
        <v>7</v>
      </c>
      <c r="F158" s="11" t="inlineStr">
        <is>
          <t>equipamento novo, com garantia de fabrica e instalacao por credenciado</t>
        </is>
      </c>
      <c r="G158" s="11" t="inlineStr"/>
      <c r="H158" s="11" t="inlineStr">
        <is>
          <t>marca e modelo: a capacidade esta dimensionada, a escolha do equipamento e do proprietario</t>
        </is>
      </c>
      <c r="I158" s="18" t="inlineStr">
        <is>
          <t>sim</t>
        </is>
      </c>
    </row>
    <row r="159">
      <c r="A159" s="9" t="inlineStr">
        <is>
          <t>FV-HOMOLOG</t>
        </is>
      </c>
      <c r="B159" s="10" t="inlineStr">
        <is>
          <t>eletrica</t>
        </is>
      </c>
      <c r="C159" s="11" t="inlineStr">
        <is>
          <t>Projeto e homologacao na concessionaria (REN 1.000)</t>
        </is>
      </c>
      <c r="D159" s="10" t="inlineStr">
        <is>
          <t>un</t>
        </is>
      </c>
      <c r="E159" s="14" t="n">
        <v>1</v>
      </c>
      <c r="F159" s="11" t="inlineStr">
        <is>
          <t>sistema fotovoltaico conectado a rede (on-grid), microgeracao REN ANEEL 1.000/2021; modulos monocristalinos, inversor string trifasico com monitoramento</t>
        </is>
      </c>
      <c r="G159" s="11" t="inlineStr">
        <is>
          <t>NBR 16274, NBR 16690, Portaria INMETRO 140/2022</t>
        </is>
      </c>
      <c r="H159" s="11" t="inlineStr">
        <is>
          <t>marca e modelo de modulo e inversor; a potencia e a area estao dimensionadas, o produto e cotacao</t>
        </is>
      </c>
      <c r="I159" s="18" t="inlineStr">
        <is>
          <t>sim</t>
        </is>
      </c>
    </row>
    <row r="160">
      <c r="A160" s="9" t="inlineStr">
        <is>
          <t>LUM-SOBREPOR24</t>
        </is>
      </c>
      <c r="B160" s="10" t="inlineStr">
        <is>
          <t>eletrica</t>
        </is>
      </c>
      <c r="C160" s="11" t="inlineStr">
        <is>
          <t>Plafon LED de sobrepor 24 W</t>
        </is>
      </c>
      <c r="D160" s="10" t="inlineStr">
        <is>
          <t>un</t>
        </is>
      </c>
      <c r="E160" s="14" t="n">
        <v>10</v>
      </c>
      <c r="F16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0" s="11" t="inlineStr">
        <is>
          <t>NBR ISO/CIE 8995-1, Portaria INMETRO 20/2017 (LED)</t>
        </is>
      </c>
      <c r="H160" s="11" t="inlineStr">
        <is>
          <t>marca e modelo: o fluxo e a potencia de cada tipo estao declarados; o produto e escolha de acabamento</t>
        </is>
      </c>
      <c r="I160" s="18" t="inlineStr">
        <is>
          <t>sim</t>
        </is>
      </c>
    </row>
    <row r="161">
      <c r="A161" s="9" t="inlineStr">
        <is>
          <t>REV-NICHO</t>
        </is>
      </c>
      <c r="B161" s="10" t="inlineStr">
        <is>
          <t>loucas</t>
        </is>
      </c>
      <c r="C161" s="11" t="inlineStr">
        <is>
          <t>Nicho de box 300 x 900 mm entre montantes (RU + ceramica)</t>
        </is>
      </c>
      <c r="D161" s="10" t="inlineStr">
        <is>
          <t>un</t>
        </is>
      </c>
      <c r="E161" s="14" t="n">
        <v>4</v>
      </c>
      <c r="F161" s="11" t="inlineStr">
        <is>
          <t>revestimento ceramico conforme quadro de acabamentos por ambiente; area ja com 10 % de perda de corte e quebra</t>
        </is>
      </c>
      <c r="G161" s="11" t="inlineStr">
        <is>
          <t>NBR 13818, NBR 15463</t>
        </is>
      </c>
      <c r="H161" s="11" t="inlineStr">
        <is>
          <t>linha, formato e PEI: o modelo define o TIPO por ambiente, a linha e escolha de acabamento</t>
        </is>
      </c>
      <c r="I161" s="18" t="inlineStr">
        <is>
          <t>sim</t>
        </is>
      </c>
    </row>
    <row r="162">
      <c r="A162" s="9" t="inlineStr">
        <is>
          <t>MET-REG</t>
        </is>
      </c>
      <c r="B162" s="10" t="inlineStr">
        <is>
          <t>loucas</t>
        </is>
      </c>
      <c r="C162" s="11" t="inlineStr">
        <is>
          <t>Registro de gaveta e de pressao</t>
        </is>
      </c>
      <c r="D162" s="10" t="inlineStr">
        <is>
          <t>un</t>
        </is>
      </c>
      <c r="E162" s="14" t="n">
        <v>14</v>
      </c>
      <c r="F162" s="11" t="inlineStr">
        <is>
          <t>louca / metal sanitario de linha comercial, cor branca para louca e acabamento cromado para metal; quantidade contada das pecas LOCADAS em planta, nao estimada por comodo</t>
        </is>
      </c>
      <c r="G162" s="11" t="inlineStr">
        <is>
          <t>NBR 15097, NBR 15705</t>
        </is>
      </c>
      <c r="H162" s="11" t="inlineStr">
        <is>
          <t>linha e fabricante: louca e metal sao decisao de acabamento do proprietario, e a mesma peca varia 3x de preco entre linhas</t>
        </is>
      </c>
      <c r="I162" s="18" t="inlineStr">
        <is>
          <t>sim</t>
        </is>
      </c>
    </row>
    <row r="163">
      <c r="A163" s="9" t="inlineStr">
        <is>
          <t>MET-CHUV</t>
        </is>
      </c>
      <c r="B163" s="10" t="inlineStr">
        <is>
          <t>loucas</t>
        </is>
      </c>
      <c r="C163" s="11" t="inlineStr">
        <is>
          <t>Chuveiro eletrico 220 V</t>
        </is>
      </c>
      <c r="D163" s="10" t="inlineStr">
        <is>
          <t>un</t>
        </is>
      </c>
      <c r="E163" s="14" t="n">
        <v>4</v>
      </c>
      <c r="F163" s="11" t="inlineStr">
        <is>
          <t>louca / metal sanitario de linha comercial, cor branca para louca e acabamento cromado para metal; quantidade contada das pecas LOCADAS em planta, nao estimada por comodo</t>
        </is>
      </c>
      <c r="G163" s="11" t="inlineStr">
        <is>
          <t>NBR 15097, NBR 15705</t>
        </is>
      </c>
      <c r="H163" s="11" t="inlineStr">
        <is>
          <t>linha e fabricante: louca e metal sao decisao de acabamento do proprietario, e a mesma peca varia 3x de preco entre linhas</t>
        </is>
      </c>
      <c r="I163" s="18" t="inlineStr">
        <is>
          <t>sim</t>
        </is>
      </c>
    </row>
    <row r="164">
      <c r="A164" s="9" t="inlineStr">
        <is>
          <t>ELE-DR</t>
        </is>
      </c>
      <c r="B164" s="10" t="inlineStr">
        <is>
          <t>eletrica</t>
        </is>
      </c>
      <c r="C164" s="11" t="inlineStr">
        <is>
          <t>Disjuntor diferencial residual 30 mA</t>
        </is>
      </c>
      <c r="D164" s="10" t="inlineStr">
        <is>
          <t>un</t>
        </is>
      </c>
      <c r="E164" s="14" t="n">
        <v>6</v>
      </c>
      <c r="F164" s="11" t="inlineStr">
        <is>
          <t>dispositivo de embutir em caixa 4x2 / 4x4, linha unica em toda a casa; tensao 127 V para TUG e 220 V para TUE, conforme esquema declarado no projeto</t>
        </is>
      </c>
      <c r="G164" s="11" t="inlineStr">
        <is>
          <t>NBR 14136, NBR 5410</t>
        </is>
      </c>
      <c r="H164" s="11" t="inlineStr"/>
      <c r="I164" s="18" t="inlineStr">
        <is>
          <t>sim</t>
        </is>
      </c>
    </row>
    <row r="165">
      <c r="A165" s="9" t="inlineStr">
        <is>
          <t>MET-DUCHA</t>
        </is>
      </c>
      <c r="B165" s="10" t="inlineStr">
        <is>
          <t>loucas</t>
        </is>
      </c>
      <c r="C165" s="11" t="inlineStr">
        <is>
          <t>Ducha higienica com registro</t>
        </is>
      </c>
      <c r="D165" s="10" t="inlineStr">
        <is>
          <t>un</t>
        </is>
      </c>
      <c r="E165" s="14" t="n">
        <v>5</v>
      </c>
      <c r="F165" s="11" t="inlineStr">
        <is>
          <t>louca / metal sanitario de linha comercial, cor branca para louca e acabamento cromado para metal; quantidade contada das pecas LOCADAS em planta, nao estimada por comodo</t>
        </is>
      </c>
      <c r="G165" s="11" t="inlineStr">
        <is>
          <t>NBR 15097, NBR 15705</t>
        </is>
      </c>
      <c r="H165" s="11" t="inlineStr">
        <is>
          <t>linha e fabricante: louca e metal sao decisao de acabamento do proprietario, e a mesma peca varia 3x de preco entre linhas</t>
        </is>
      </c>
      <c r="I165" s="18" t="inlineStr">
        <is>
          <t>sim</t>
        </is>
      </c>
    </row>
    <row r="166">
      <c r="A166" s="9" t="inlineStr">
        <is>
          <t>SPD-DESCIDA</t>
        </is>
      </c>
      <c r="B166" s="10" t="inlineStr">
        <is>
          <t>eletrica</t>
        </is>
      </c>
      <c r="C166" s="11" t="inlineStr">
        <is>
          <t>Descida natural pela estrutura LSF: conector de teste e ligacao</t>
        </is>
      </c>
      <c r="D166" s="10" t="inlineStr">
        <is>
          <t>un</t>
        </is>
      </c>
      <c r="E166" s="14" t="n">
        <v>4</v>
      </c>
      <c r="F166" s="11" t="inlineStr">
        <is>
          <t>SPDA conforme NBR 5419-3, classe IV: captor em anel no perimetro da cobertura, descidas naturais pela estrutura de aco com continuidade ensaiada, anel de aterramento no radier</t>
        </is>
      </c>
      <c r="G166" s="11" t="inlineStr">
        <is>
          <t>NBR 5410, NBR 5419-3, NBR 5419-4</t>
        </is>
      </c>
      <c r="H166" s="11" t="inlineStr">
        <is>
          <t>laudo de continuidade eletrica da estrutura e medicao de resistencia de aterramento apos a execucao</t>
        </is>
      </c>
      <c r="I166" s="18" t="inlineStr">
        <is>
          <t>sim</t>
        </is>
      </c>
    </row>
    <row r="167">
      <c r="A167" s="9" t="inlineStr">
        <is>
          <t>LUM-ARANDELA</t>
        </is>
      </c>
      <c r="B167" s="10" t="inlineStr">
        <is>
          <t>eletrica</t>
        </is>
      </c>
      <c r="C167" s="11" t="inlineStr">
        <is>
          <t>Arandela LED IP44 de espelho, 8 W</t>
        </is>
      </c>
      <c r="D167" s="10" t="inlineStr">
        <is>
          <t>un</t>
        </is>
      </c>
      <c r="E167" s="14" t="n">
        <v>6</v>
      </c>
      <c r="F16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7" s="11" t="inlineStr">
        <is>
          <t>NBR ISO/CIE 8995-1, Portaria INMETRO 20/2017 (LED)</t>
        </is>
      </c>
      <c r="H167" s="11" t="inlineStr">
        <is>
          <t>marca e modelo: o fluxo e a potencia de cada tipo estao declarados; o produto e escolha de acabamento</t>
        </is>
      </c>
      <c r="I167" s="18" t="inlineStr">
        <is>
          <t>sim</t>
        </is>
      </c>
    </row>
    <row r="168">
      <c r="A168" s="9" t="inlineStr">
        <is>
          <t>SPD-DPS1</t>
        </is>
      </c>
      <c r="B168" s="10" t="inlineStr">
        <is>
          <t>eletrica</t>
        </is>
      </c>
      <c r="C168" s="11" t="inlineStr">
        <is>
          <t>DPS classe I, 12,5 kA, 3F+N, na entrada</t>
        </is>
      </c>
      <c r="D168" s="10" t="inlineStr">
        <is>
          <t>un</t>
        </is>
      </c>
      <c r="E168" s="14" t="n">
        <v>1</v>
      </c>
      <c r="F168" s="11" t="inlineStr">
        <is>
          <t>SPDA conforme NBR 5419-3, classe IV: captor em anel no perimetro da cobertura, descidas naturais pela estrutura de aco com continuidade ensaiada, anel de aterramento no radier</t>
        </is>
      </c>
      <c r="G168" s="11" t="inlineStr">
        <is>
          <t>NBR 5410, NBR 5419-3, NBR 5419-4</t>
        </is>
      </c>
      <c r="H168" s="11" t="inlineStr">
        <is>
          <t>laudo de continuidade eletrica da estrutura e medicao de resistencia de aterramento apos a execucao</t>
        </is>
      </c>
      <c r="I168" s="18" t="inlineStr">
        <is>
          <t>sim</t>
        </is>
      </c>
    </row>
    <row r="169">
      <c r="A169" s="9" t="inlineStr">
        <is>
          <t>MET-DUCHA-TETO</t>
        </is>
      </c>
      <c r="B169" s="10" t="inlineStr">
        <is>
          <t>loucas</t>
        </is>
      </c>
      <c r="C169" s="11" t="inlineStr">
        <is>
          <t>Ducha de teto 250 mm com desviador (box &gt;= 1.400)</t>
        </is>
      </c>
      <c r="D169" s="10" t="inlineStr">
        <is>
          <t>un</t>
        </is>
      </c>
      <c r="E169" s="14" t="n">
        <v>1</v>
      </c>
      <c r="F169" s="11" t="inlineStr">
        <is>
          <t>louca / metal sanitario de linha comercial, cor branca para louca e acabamento cromado para metal; quantidade contada das pecas LOCADAS em planta, nao estimada por comodo</t>
        </is>
      </c>
      <c r="G169" s="11" t="inlineStr">
        <is>
          <t>NBR 15097, NBR 15705</t>
        </is>
      </c>
      <c r="H169" s="11" t="inlineStr">
        <is>
          <t>linha e fabricante: louca e metal sao decisao de acabamento do proprietario, e a mesma peca varia 3x de preco entre linhas</t>
        </is>
      </c>
      <c r="I169" s="18" t="inlineStr">
        <is>
          <t>sim</t>
        </is>
      </c>
    </row>
    <row r="170">
      <c r="A170" s="9" t="inlineStr">
        <is>
          <t>LUM-PENDENTE40</t>
        </is>
      </c>
      <c r="B170" s="10" t="inlineStr">
        <is>
          <t>eletrica</t>
        </is>
      </c>
      <c r="C170" s="11" t="inlineStr">
        <is>
          <t>Pendente LED de pe-direito duplo, 40 W</t>
        </is>
      </c>
      <c r="D170" s="10" t="inlineStr">
        <is>
          <t>un</t>
        </is>
      </c>
      <c r="E170" s="14" t="n">
        <v>2</v>
      </c>
      <c r="F17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0" s="11" t="inlineStr">
        <is>
          <t>NBR ISO/CIE 8995-1, Portaria INMETRO 20/2017 (LED)</t>
        </is>
      </c>
      <c r="H170" s="11" t="inlineStr">
        <is>
          <t>marca e modelo: o fluxo e a potencia de cada tipo estao declarados; o produto e escolha de acabamento</t>
        </is>
      </c>
      <c r="I170" s="18" t="inlineStr">
        <is>
          <t>sim</t>
        </is>
      </c>
    </row>
    <row r="171">
      <c r="A171" s="9" t="inlineStr">
        <is>
          <t>ELE-INT</t>
        </is>
      </c>
      <c r="B171" s="10" t="inlineStr">
        <is>
          <t>eletrica</t>
        </is>
      </c>
      <c r="C171" s="11" t="inlineStr">
        <is>
          <t>Interruptor simples e paralelo com placa</t>
        </is>
      </c>
      <c r="D171" s="10" t="inlineStr">
        <is>
          <t>un</t>
        </is>
      </c>
      <c r="E171" s="14" t="n">
        <v>25</v>
      </c>
      <c r="F171" s="11" t="inlineStr">
        <is>
          <t>dispositivo de embutir em caixa 4x2 / 4x4, linha unica em toda a casa; tensao 127 V para TUG e 220 V para TUE, conforme esquema declarado no projeto</t>
        </is>
      </c>
      <c r="G171" s="11" t="inlineStr">
        <is>
          <t>NBR 14136, NBR 5410</t>
        </is>
      </c>
      <c r="H171" s="11" t="inlineStr"/>
      <c r="I171" s="18" t="inlineStr">
        <is>
          <t>sim</t>
        </is>
      </c>
    </row>
    <row r="172">
      <c r="A172" s="9" t="inlineStr">
        <is>
          <t>LOU-ASSENTO</t>
        </is>
      </c>
      <c r="B172" s="10" t="inlineStr">
        <is>
          <t>loucas</t>
        </is>
      </c>
      <c r="C172" s="11" t="inlineStr">
        <is>
          <t>Assento sanitario com amortecedor</t>
        </is>
      </c>
      <c r="D172" s="10" t="inlineStr">
        <is>
          <t>un</t>
        </is>
      </c>
      <c r="E172" s="14" t="n">
        <v>5</v>
      </c>
      <c r="F172" s="11" t="inlineStr">
        <is>
          <t>louca / metal sanitario de linha comercial, cor branca para louca e acabamento cromado para metal; quantidade contada das pecas LOCADAS em planta, nao estimada por comodo</t>
        </is>
      </c>
      <c r="G172" s="11" t="inlineStr">
        <is>
          <t>NBR 15097, NBR 15705</t>
        </is>
      </c>
      <c r="H172" s="11" t="inlineStr">
        <is>
          <t>linha e fabricante: louca e metal sao decisao de acabamento do proprietario, e a mesma peca varia 3x de preco entre linhas</t>
        </is>
      </c>
      <c r="I172" s="18" t="inlineStr">
        <is>
          <t>sim</t>
        </is>
      </c>
    </row>
    <row r="173">
      <c r="A173" s="9" t="inlineStr">
        <is>
          <t>ELE-TUE</t>
        </is>
      </c>
      <c r="B173" s="10" t="inlineStr">
        <is>
          <t>eletrica</t>
        </is>
      </c>
      <c r="C173" s="11" t="inlineStr">
        <is>
          <t>Tomada de uso especifico 20 A com placa</t>
        </is>
      </c>
      <c r="D173" s="10" t="inlineStr">
        <is>
          <t>un</t>
        </is>
      </c>
      <c r="E173" s="14" t="n">
        <v>25</v>
      </c>
      <c r="F173" s="11" t="inlineStr">
        <is>
          <t>dispositivo de embutir em caixa 4x2 / 4x4, linha unica em toda a casa; tensao 127 V para TUG e 220 V para TUE, conforme esquema declarado no projeto</t>
        </is>
      </c>
      <c r="G173" s="11" t="inlineStr">
        <is>
          <t>NBR 14136, NBR 5410</t>
        </is>
      </c>
      <c r="H173" s="11" t="inlineStr"/>
      <c r="I173" s="18" t="inlineStr">
        <is>
          <t>sim</t>
        </is>
      </c>
    </row>
    <row r="174">
      <c r="A174" s="9" t="inlineStr">
        <is>
          <t>FV-STRINGBOX</t>
        </is>
      </c>
      <c r="B174" s="10" t="inlineStr">
        <is>
          <t>eletrica</t>
        </is>
      </c>
      <c r="C174" s="11" t="inlineStr">
        <is>
          <t>String box CC com DPS e seccionadora</t>
        </is>
      </c>
      <c r="D174" s="10" t="inlineStr">
        <is>
          <t>un</t>
        </is>
      </c>
      <c r="E174" s="14" t="n">
        <v>1</v>
      </c>
      <c r="F174" s="11" t="inlineStr">
        <is>
          <t>sistema fotovoltaico conectado a rede (on-grid), microgeracao REN ANEEL 1.000/2021; modulos monocristalinos, inversor string trifasico com monitoramento</t>
        </is>
      </c>
      <c r="G174" s="11" t="inlineStr">
        <is>
          <t>NBR 16274, NBR 16690, Portaria INMETRO 140/2022</t>
        </is>
      </c>
      <c r="H174" s="11" t="inlineStr">
        <is>
          <t>marca e modelo de modulo e inversor; a potencia e a area estao dimensionadas, o produto e cotacao</t>
        </is>
      </c>
      <c r="I174" s="18" t="inlineStr">
        <is>
          <t>sim</t>
        </is>
      </c>
    </row>
    <row r="175">
      <c r="A175" s="9" t="inlineStr">
        <is>
          <t>SPD-ENSAIO</t>
        </is>
      </c>
      <c r="B175" s="10" t="inlineStr">
        <is>
          <t>eletrica</t>
        </is>
      </c>
      <c r="C175" s="11" t="inlineStr">
        <is>
          <t>Ensaio de continuidade e resistencia de aterramento</t>
        </is>
      </c>
      <c r="D175" s="10" t="inlineStr">
        <is>
          <t>un</t>
        </is>
      </c>
      <c r="E175" s="14" t="n">
        <v>1</v>
      </c>
      <c r="F175" s="11" t="inlineStr">
        <is>
          <t>SPDA conforme NBR 5419-3, classe IV: captor em anel no perimetro da cobertura, descidas naturais pela estrutura de aco com continuidade ensaiada, anel de aterramento no radier</t>
        </is>
      </c>
      <c r="G175" s="11" t="inlineStr">
        <is>
          <t>NBR 5410, NBR 5419-3, NBR 5419-4</t>
        </is>
      </c>
      <c r="H175" s="11" t="inlineStr">
        <is>
          <t>laudo de continuidade eletrica da estrutura e medicao de resistencia de aterramento apos a execucao</t>
        </is>
      </c>
      <c r="I175" s="18" t="inlineStr">
        <is>
          <t>sim</t>
        </is>
      </c>
    </row>
    <row r="176">
      <c r="A176" s="9" t="inlineStr">
        <is>
          <t>FV-CABO</t>
        </is>
      </c>
      <c r="B176" s="10" t="inlineStr">
        <is>
          <t>eletrica</t>
        </is>
      </c>
      <c r="C176" s="11" t="inlineStr">
        <is>
          <t>Cabo solar 6 mm2 e eletroduto ate o inversor</t>
        </is>
      </c>
      <c r="D176" s="10" t="inlineStr">
        <is>
          <t>m</t>
        </is>
      </c>
      <c r="E176" s="14" t="n">
        <v>46.3</v>
      </c>
      <c r="F176" s="11" t="inlineStr">
        <is>
          <t>sistema fotovoltaico conectado a rede (on-grid), microgeracao REN ANEEL 1.000/2021; modulos monocristalinos, inversor string trifasico com monitoramento</t>
        </is>
      </c>
      <c r="G176" s="11" t="inlineStr">
        <is>
          <t>NBR 16274, NBR 16690, Portaria INMETRO 140/2022</t>
        </is>
      </c>
      <c r="H176" s="11" t="inlineStr">
        <is>
          <t>marca e modelo de modulo e inversor; a potencia e a area estao dimensionadas, o produto e cotacao</t>
        </is>
      </c>
      <c r="I176" s="18" t="inlineStr">
        <is>
          <t>sim</t>
        </is>
      </c>
    </row>
    <row r="177">
      <c r="A177" s="9" t="inlineStr">
        <is>
          <t>LOU-TANQUE</t>
        </is>
      </c>
      <c r="B177" s="10" t="inlineStr">
        <is>
          <t>loucas</t>
        </is>
      </c>
      <c r="C177" s="11" t="inlineStr">
        <is>
          <t>Tanque de lavanderia</t>
        </is>
      </c>
      <c r="D177" s="10" t="inlineStr">
        <is>
          <t>un</t>
        </is>
      </c>
      <c r="E177" s="14" t="n">
        <v>2</v>
      </c>
      <c r="F177" s="11" t="inlineStr">
        <is>
          <t>louca / metal sanitario de linha comercial, cor branca para louca e acabamento cromado para metal; quantidade contada das pecas LOCADAS em planta, nao estimada por comodo</t>
        </is>
      </c>
      <c r="G177" s="11" t="inlineStr">
        <is>
          <t>NBR 15097, NBR 15705</t>
        </is>
      </c>
      <c r="H177" s="11" t="inlineStr">
        <is>
          <t>linha e fabricante: louca e metal sao decisao de acabamento do proprietario, e a mesma peca varia 3x de preco entre linhas</t>
        </is>
      </c>
      <c r="I177" s="18" t="inlineStr">
        <is>
          <t>sim</t>
        </is>
      </c>
    </row>
    <row r="178">
      <c r="A178" s="9" t="inlineStr">
        <is>
          <t>MET-TORN-T</t>
        </is>
      </c>
      <c r="B178" s="10" t="inlineStr">
        <is>
          <t>loucas</t>
        </is>
      </c>
      <c r="C178" s="11" t="inlineStr">
        <is>
          <t>Torneira de tanque e de jardim</t>
        </is>
      </c>
      <c r="D178" s="10" t="inlineStr">
        <is>
          <t>un</t>
        </is>
      </c>
      <c r="E178" s="14" t="n">
        <v>4</v>
      </c>
      <c r="F178" s="11" t="inlineStr">
        <is>
          <t>louca / metal sanitario de linha comercial, cor branca para louca e acabamento cromado para metal; quantidade contada das pecas LOCADAS em planta, nao estimada por comodo</t>
        </is>
      </c>
      <c r="G178" s="11" t="inlineStr">
        <is>
          <t>NBR 15097, NBR 15705</t>
        </is>
      </c>
      <c r="H178" s="11" t="inlineStr">
        <is>
          <t>linha e fabricante: louca e metal sao decisao de acabamento do proprietario, e a mesma peca varia 3x de preco entre linhas</t>
        </is>
      </c>
      <c r="I178" s="18" t="inlineStr">
        <is>
          <t>sim</t>
        </is>
      </c>
    </row>
    <row r="179">
      <c r="A179" s="9" t="inlineStr">
        <is>
          <t>MET-ENGATE</t>
        </is>
      </c>
      <c r="B179" s="10" t="inlineStr">
        <is>
          <t>loucas</t>
        </is>
      </c>
      <c r="C179" s="11" t="inlineStr">
        <is>
          <t>Engate flexivel</t>
        </is>
      </c>
      <c r="D179" s="10" t="inlineStr">
        <is>
          <t>un</t>
        </is>
      </c>
      <c r="E179" s="14" t="n">
        <v>27</v>
      </c>
      <c r="F179" s="11" t="inlineStr">
        <is>
          <t>louca / metal sanitario de linha comercial, cor branca para louca e acabamento cromado para metal; quantidade contada das pecas LOCADAS em planta, nao estimada por comodo</t>
        </is>
      </c>
      <c r="G179" s="11" t="inlineStr">
        <is>
          <t>NBR 15097, NBR 15705</t>
        </is>
      </c>
      <c r="H179" s="11" t="inlineStr">
        <is>
          <t>linha e fabricante: louca e metal sao decisao de acabamento do proprietario, e a mesma peca varia 3x de preco entre linhas</t>
        </is>
      </c>
      <c r="I179" s="18" t="inlineStr">
        <is>
          <t>sim</t>
        </is>
      </c>
    </row>
    <row r="180">
      <c r="A180" s="9" t="inlineStr">
        <is>
          <t>LUM-BALIZADOR</t>
        </is>
      </c>
      <c r="B180" s="10" t="inlineStr">
        <is>
          <t>eletrica</t>
        </is>
      </c>
      <c r="C180" s="11" t="inlineStr">
        <is>
          <t>Balizador LED de escada, 3 W</t>
        </is>
      </c>
      <c r="D180" s="10" t="inlineStr">
        <is>
          <t>un</t>
        </is>
      </c>
      <c r="E180" s="14" t="n">
        <v>6</v>
      </c>
      <c r="F18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0" s="11" t="inlineStr">
        <is>
          <t>NBR ISO/CIE 8995-1, Portaria INMETRO 20/2017 (LED)</t>
        </is>
      </c>
      <c r="H180" s="11" t="inlineStr">
        <is>
          <t>marca e modelo: o fluxo e a potencia de cada tipo estao declarados; o produto e escolha de acabamento</t>
        </is>
      </c>
      <c r="I180" s="18" t="inlineStr">
        <is>
          <t>sim</t>
        </is>
      </c>
    </row>
    <row r="181">
      <c r="A181" s="9" t="inlineStr">
        <is>
          <t>MET-VALV</t>
        </is>
      </c>
      <c r="B181" s="10" t="inlineStr">
        <is>
          <t>loucas</t>
        </is>
      </c>
      <c r="C181" s="11" t="inlineStr">
        <is>
          <t>Valvula de escoamento e de lavatorio</t>
        </is>
      </c>
      <c r="D181" s="10" t="inlineStr">
        <is>
          <t>un</t>
        </is>
      </c>
      <c r="E181" s="14" t="n">
        <v>11</v>
      </c>
      <c r="F181" s="11" t="inlineStr">
        <is>
          <t>louca / metal sanitario de linha comercial, cor branca para louca e acabamento cromado para metal; quantidade contada das pecas LOCADAS em planta, nao estimada por comodo</t>
        </is>
      </c>
      <c r="G181" s="11" t="inlineStr">
        <is>
          <t>NBR 15097, NBR 15705</t>
        </is>
      </c>
      <c r="H181" s="11" t="inlineStr">
        <is>
          <t>linha e fabricante: louca e metal sao decisao de acabamento do proprietario, e a mesma peca varia 3x de preco entre linhas</t>
        </is>
      </c>
      <c r="I181" s="18" t="inlineStr">
        <is>
          <t>sim</t>
        </is>
      </c>
    </row>
    <row r="182">
      <c r="A182" s="9" t="inlineStr">
        <is>
          <t>SPD-BEP</t>
        </is>
      </c>
      <c r="B182" s="10" t="inlineStr">
        <is>
          <t>eletrica</t>
        </is>
      </c>
      <c r="C182" s="11" t="inlineStr">
        <is>
          <t>Barramento de equipotencializacao principal</t>
        </is>
      </c>
      <c r="D182" s="10" t="inlineStr">
        <is>
          <t>un</t>
        </is>
      </c>
      <c r="E182" s="14" t="n">
        <v>1</v>
      </c>
      <c r="F182" s="11" t="inlineStr">
        <is>
          <t>SPDA conforme NBR 5419-3, classe IV: captor em anel no perimetro da cobertura, descidas naturais pela estrutura de aco com continuidade ensaiada, anel de aterramento no radier</t>
        </is>
      </c>
      <c r="G182" s="11" t="inlineStr">
        <is>
          <t>NBR 5410, NBR 5419-3, NBR 5419-4</t>
        </is>
      </c>
      <c r="H182" s="11" t="inlineStr">
        <is>
          <t>laudo de continuidade eletrica da estrutura e medicao de resistencia de aterramento apos a execucao</t>
        </is>
      </c>
      <c r="I182" s="18" t="inlineStr">
        <is>
          <t>sim</t>
        </is>
      </c>
    </row>
    <row r="183">
      <c r="A183" s="9" t="inlineStr">
        <is>
          <t>MET-SIFAO</t>
        </is>
      </c>
      <c r="B183" s="10" t="inlineStr">
        <is>
          <t>loucas</t>
        </is>
      </c>
      <c r="C183" s="11" t="inlineStr">
        <is>
          <t>Sifao flexivel</t>
        </is>
      </c>
      <c r="D183" s="10" t="inlineStr">
        <is>
          <t>un</t>
        </is>
      </c>
      <c r="E183" s="14" t="n">
        <v>11</v>
      </c>
      <c r="F183" s="11" t="inlineStr">
        <is>
          <t>louca / metal sanitario de linha comercial, cor branca para louca e acabamento cromado para metal; quantidade contada das pecas LOCADAS em planta, nao estimada por comodo</t>
        </is>
      </c>
      <c r="G183" s="11" t="inlineStr">
        <is>
          <t>NBR 15097, NBR 15705</t>
        </is>
      </c>
      <c r="H183" s="11" t="inlineStr">
        <is>
          <t>linha e fabricante: louca e metal sao decisao de acabamento do proprietario, e a mesma peca varia 3x de preco entre linhas</t>
        </is>
      </c>
      <c r="I183" s="18" t="inlineStr">
        <is>
          <t>sim</t>
        </is>
      </c>
    </row>
    <row r="184">
      <c r="A184" s="9" t="inlineStr">
        <is>
          <t>SPD-HASTE</t>
        </is>
      </c>
      <c r="B184" s="10" t="inlineStr">
        <is>
          <t>eletrica</t>
        </is>
      </c>
      <c r="C184" s="11" t="inlineStr">
        <is>
          <t>Haste de aterramento 5/8 x 2.400 mm</t>
        </is>
      </c>
      <c r="D184" s="10" t="inlineStr">
        <is>
          <t>un</t>
        </is>
      </c>
      <c r="E184" s="14" t="n">
        <v>4</v>
      </c>
      <c r="F184" s="11" t="inlineStr">
        <is>
          <t>SPDA conforme NBR 5419-3, classe IV: captor em anel no perimetro da cobertura, descidas naturais pela estrutura de aco com continuidade ensaiada, anel de aterramento no radier</t>
        </is>
      </c>
      <c r="G184" s="11" t="inlineStr">
        <is>
          <t>NBR 5410, NBR 5419-3, NBR 5419-4</t>
        </is>
      </c>
      <c r="H184" s="11" t="inlineStr">
        <is>
          <t>laudo de continuidade eletrica da estrutura e medicao de resistencia de aterramento apos a execucao</t>
        </is>
      </c>
      <c r="I184" s="18" t="inlineStr">
        <is>
          <t>sim</t>
        </is>
      </c>
    </row>
    <row r="185">
      <c r="A185" s="9" t="inlineStr">
        <is>
          <t>ELE-DPS</t>
        </is>
      </c>
      <c r="B185" s="10" t="inlineStr">
        <is>
          <t>eletrica</t>
        </is>
      </c>
      <c r="C185" s="11" t="inlineStr">
        <is>
          <t>Dispositivo de protecao contra surtos</t>
        </is>
      </c>
      <c r="D185" s="10" t="inlineStr">
        <is>
          <t>un</t>
        </is>
      </c>
      <c r="E185" s="14" t="n">
        <v>2</v>
      </c>
      <c r="F185" s="11" t="inlineStr">
        <is>
          <t>dispositivo de embutir em caixa 4x2 / 4x4, linha unica em toda a casa; tensao 127 V para TUG e 220 V para TUE, conforme esquema declarado no projeto</t>
        </is>
      </c>
      <c r="G185" s="11" t="inlineStr">
        <is>
          <t>NBR 14136, NBR 5410</t>
        </is>
      </c>
      <c r="H185" s="11" t="inlineStr"/>
      <c r="I185" s="18" t="inlineStr">
        <is>
          <t>sim</t>
        </is>
      </c>
    </row>
    <row r="187">
      <c r="A187" s="3" t="inlineStr">
        <is>
          <t>ROTA ALTERNATIVA — peça cortada e furada em vez de barra</t>
        </is>
      </c>
    </row>
    <row r="188">
      <c r="A188" s="2" t="inlineStr">
        <is>
          <t>Estes itens NÃO entram no total: são a mesma estrutura comprada pronta. Cotar os dois e comparar contra o custo de corte próprio.</t>
        </is>
      </c>
    </row>
    <row r="189">
      <c r="A189" s="26" t="inlineStr">
        <is>
          <t>ITEM</t>
        </is>
      </c>
      <c r="B189" s="26" t="inlineStr">
        <is>
          <t>DESCRIÇÃO</t>
        </is>
      </c>
      <c r="C189" s="26" t="inlineStr">
        <is>
          <t>UN</t>
        </is>
      </c>
      <c r="D189" s="26" t="inlineStr">
        <is>
          <t>QUANTIDADE</t>
        </is>
      </c>
      <c r="E189" s="26" t="inlineStr">
        <is>
          <t>ESPECIFICAÇÃO</t>
        </is>
      </c>
      <c r="F189" s="26" t="inlineStr">
        <is>
          <t>NORMAS</t>
        </is>
      </c>
    </row>
    <row r="190">
      <c r="A190" s="9" t="inlineStr">
        <is>
          <t>PF-Ue 90x40x12x0,95</t>
        </is>
      </c>
      <c r="B190" s="11" t="inlineStr">
        <is>
          <t>Ue 90x40x12x0,95</t>
        </is>
      </c>
      <c r="C190" s="10" t="inlineStr">
        <is>
          <t>pc</t>
        </is>
      </c>
      <c r="D190" s="14" t="n">
        <v>547</v>
      </c>
      <c r="E190" s="11" t="inlineStr">
        <is>
          <t>peca cortada e furada conforme Ue 90x40x12x0,95; rota ALTERNATIVA a barra: cotar peca pronta so faz sentido contra o custo de corte proprio</t>
        </is>
      </c>
      <c r="F190" s="10" t="inlineStr">
        <is>
          <t>NBR 15253</t>
        </is>
      </c>
    </row>
    <row r="191">
      <c r="A191" s="9" t="inlineStr">
        <is>
          <t>PF-Ue 250x40x15x3,00</t>
        </is>
      </c>
      <c r="B191" s="11" t="inlineStr">
        <is>
          <t>Ue 250x40x15x3,00</t>
        </is>
      </c>
      <c r="C191" s="10" t="inlineStr">
        <is>
          <t>pc</t>
        </is>
      </c>
      <c r="D191" s="14" t="n">
        <v>22</v>
      </c>
      <c r="E191" s="11" t="inlineStr">
        <is>
          <t>peca cortada e furada conforme Ue 250x40x15x3,00; rota ALTERNATIVA a barra: cotar peca pronta so faz sentido contra o custo de corte proprio</t>
        </is>
      </c>
      <c r="F191" s="10" t="inlineStr">
        <is>
          <t>NBR 15253</t>
        </is>
      </c>
    </row>
    <row r="192">
      <c r="A192" s="9" t="inlineStr">
        <is>
          <t>PF-U 92x38x0,95</t>
        </is>
      </c>
      <c r="B192" s="11" t="inlineStr">
        <is>
          <t>U 92x38x0,95</t>
        </is>
      </c>
      <c r="C192" s="10" t="inlineStr">
        <is>
          <t>pc</t>
        </is>
      </c>
      <c r="D192" s="14" t="n">
        <v>299</v>
      </c>
      <c r="E192" s="11" t="inlineStr">
        <is>
          <t>peca cortada e furada conforme U 92x38x0,95; rota ALTERNATIVA a barra: cotar peca pronta so faz sentido contra o custo de corte proprio</t>
        </is>
      </c>
      <c r="F192" s="10" t="inlineStr">
        <is>
          <t>NBR 15253</t>
        </is>
      </c>
    </row>
    <row r="193">
      <c r="A193" s="9" t="inlineStr">
        <is>
          <t>PF-Ue 250x40x12x2,25</t>
        </is>
      </c>
      <c r="B193" s="11" t="inlineStr">
        <is>
          <t>Ue 250x40x12x2,25</t>
        </is>
      </c>
      <c r="C193" s="10" t="inlineStr">
        <is>
          <t>pc</t>
        </is>
      </c>
      <c r="D193" s="14" t="n">
        <v>24</v>
      </c>
      <c r="E193" s="11" t="inlineStr">
        <is>
          <t>peca cortada e furada conforme Ue 250x40x12x2,25; rota ALTERNATIVA a barra: cotar peca pronta so faz sentido contra o custo de corte proprio</t>
        </is>
      </c>
      <c r="F193" s="10" t="inlineStr">
        <is>
          <t>NBR 15253</t>
        </is>
      </c>
    </row>
    <row r="194">
      <c r="A194" s="9" t="inlineStr">
        <is>
          <t>PF-Ue 200x40x12x1,25</t>
        </is>
      </c>
      <c r="B194" s="11" t="inlineStr">
        <is>
          <t>Ue 200x40x12x1,25</t>
        </is>
      </c>
      <c r="C194" s="10" t="inlineStr">
        <is>
          <t>pc</t>
        </is>
      </c>
      <c r="D194" s="14" t="n">
        <v>29</v>
      </c>
      <c r="E194" s="11" t="inlineStr">
        <is>
          <t>peca cortada e furada conforme Ue 200x40x12x1,25; rota ALTERNATIVA a barra: cotar peca pronta so faz sentido contra o custo de corte proprio</t>
        </is>
      </c>
      <c r="F194" s="10" t="inlineStr">
        <is>
          <t>NBR 15253</t>
        </is>
      </c>
    </row>
    <row r="195">
      <c r="A195" s="9" t="inlineStr">
        <is>
          <t>PF-Ue 200x40x12x0,95</t>
        </is>
      </c>
      <c r="B195" s="11" t="inlineStr">
        <is>
          <t>Ue 200x40x12x0,95</t>
        </is>
      </c>
      <c r="C195" s="10" t="inlineStr">
        <is>
          <t>pc</t>
        </is>
      </c>
      <c r="D195" s="14" t="n">
        <v>24</v>
      </c>
      <c r="E195" s="11" t="inlineStr">
        <is>
          <t>peca cortada e furada conforme Ue 200x40x12x0,95; rota ALTERNATIVA a barra: cotar peca pronta so faz sentido contra o custo de corte proprio</t>
        </is>
      </c>
      <c r="F195" s="10" t="inlineStr">
        <is>
          <t>NBR 15253</t>
        </is>
      </c>
    </row>
    <row r="196">
      <c r="A196" s="9" t="inlineStr">
        <is>
          <t>PF-Ue 140x40x12x0,80</t>
        </is>
      </c>
      <c r="B196" s="11" t="inlineStr">
        <is>
          <t>Ue 140x40x12x0,80</t>
        </is>
      </c>
      <c r="C196" s="10" t="inlineStr">
        <is>
          <t>pc</t>
        </is>
      </c>
      <c r="D196" s="14" t="n">
        <v>53</v>
      </c>
      <c r="E196" s="11" t="inlineStr">
        <is>
          <t>peca cortada e furada conforme Ue 140x40x12x0,80; rota ALTERNATIVA a barra: cotar peca pronta so faz sentido contra o custo de corte proprio</t>
        </is>
      </c>
      <c r="F196" s="10" t="inlineStr">
        <is>
          <t>NBR 15253</t>
        </is>
      </c>
    </row>
    <row r="197">
      <c r="A197" s="9" t="inlineStr">
        <is>
          <t>PF-Ue 90x40x12x1,25</t>
        </is>
      </c>
      <c r="B197" s="11" t="inlineStr">
        <is>
          <t>Ue 90x40x12x1,25</t>
        </is>
      </c>
      <c r="C197" s="10" t="inlineStr">
        <is>
          <t>pc</t>
        </is>
      </c>
      <c r="D197" s="14" t="n">
        <v>51</v>
      </c>
      <c r="E197" s="11" t="inlineStr">
        <is>
          <t>peca cortada e furada conforme Ue 90x40x12x1,25; rota ALTERNATIVA a barra: cotar peca pronta so faz sentido contra o custo de corte proprio</t>
        </is>
      </c>
      <c r="F197" s="10" t="inlineStr">
        <is>
          <t>NBR 15253</t>
        </is>
      </c>
    </row>
    <row r="198">
      <c r="A198" s="9" t="inlineStr">
        <is>
          <t>PF-Ue 140x40x12x1,25</t>
        </is>
      </c>
      <c r="B198" s="11" t="inlineStr">
        <is>
          <t>Ue 140x40x12x1,25</t>
        </is>
      </c>
      <c r="C198" s="10" t="inlineStr">
        <is>
          <t>pc</t>
        </is>
      </c>
      <c r="D198" s="14" t="n">
        <v>19</v>
      </c>
      <c r="E198" s="11" t="inlineStr">
        <is>
          <t>peca cortada e furada conforme Ue 140x40x12x1,25; rota ALTERNATIVA a barra: cotar peca pronta so faz sentido contra o custo de corte proprio</t>
        </is>
      </c>
      <c r="F198" s="10" t="inlineStr">
        <is>
          <t>NBR 15253</t>
        </is>
      </c>
    </row>
    <row r="199">
      <c r="A199" s="9" t="inlineStr">
        <is>
          <t>PF-Ue 250x40x12x1,25</t>
        </is>
      </c>
      <c r="B199" s="11" t="inlineStr">
        <is>
          <t>Ue 250x40x12x1,25</t>
        </is>
      </c>
      <c r="C199" s="10" t="inlineStr">
        <is>
          <t>pc</t>
        </is>
      </c>
      <c r="D199" s="14" t="n">
        <v>4</v>
      </c>
      <c r="E199" s="11" t="inlineStr">
        <is>
          <t>peca cortada e furada conforme Ue 250x40x12x1,25; rota ALTERNATIVA a barra: cotar peca pronta so faz sentido contra o custo de corte proprio</t>
        </is>
      </c>
      <c r="F199" s="10" t="inlineStr">
        <is>
          <t>NBR 15253</t>
        </is>
      </c>
    </row>
    <row r="200">
      <c r="A200" s="9" t="inlineStr">
        <is>
          <t>PF-Fita 38x0,80</t>
        </is>
      </c>
      <c r="B200" s="11" t="inlineStr">
        <is>
          <t>Fita 38x0,80</t>
        </is>
      </c>
      <c r="C200" s="10" t="inlineStr">
        <is>
          <t>pc</t>
        </is>
      </c>
      <c r="D200" s="14" t="n">
        <v>28</v>
      </c>
      <c r="E200" s="11" t="inlineStr">
        <is>
          <t>peca cortada e furada conforme Fita 38x0,80; rota ALTERNATIVA a barra: cotar peca pronta so faz sentido contra o custo de corte proprio</t>
        </is>
      </c>
      <c r="F200" s="10" t="inlineStr">
        <is>
          <t>NBR 15253</t>
        </is>
      </c>
    </row>
    <row r="201">
      <c r="A201" s="9" t="inlineStr">
        <is>
          <t>PLACA</t>
        </is>
      </c>
      <c r="B201" s="11" t="inlineStr">
        <is>
          <t>Placa (gesso, RU e cimenticia)</t>
        </is>
      </c>
      <c r="C201" s="10" t="inlineStr">
        <is>
          <t>pc</t>
        </is>
      </c>
      <c r="D201" s="14" t="n">
        <v>837</v>
      </c>
      <c r="E201" s="11" t="inlineStr">
        <is>
          <t>placa inteira, por formato — rota alternativa a compra por m2; formatos: 1200 x 2400, 1200 x 25000, 600 x 1250</t>
        </is>
      </c>
      <c r="F201" s="10" t="inlineStr">
        <is>
          <t>NBR 15758</t>
        </is>
      </c>
    </row>
  </sheetData>
  <autoFilter ref="A3:I185"/>
  <conditionalFormatting sqref="I4:I185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externo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bloco,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externo</t>
        </is>
      </c>
      <c r="B20" s="18" t="n">
        <v>2</v>
      </c>
      <c r="C20" s="10" t="inlineStr">
        <is>
          <t>Loja do Rei</t>
        </is>
      </c>
      <c r="D20" s="36" t="inlineStr">
        <is>
          <t>Manaus/AM</t>
        </is>
      </c>
      <c r="E20" s="11" t="inlineStr">
        <is>
          <t>bloco de concreto estrutural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externo</t>
        </is>
      </c>
      <c r="B21" s="18" t="n">
        <v>3</v>
      </c>
      <c r="C21" s="10" t="inlineStr">
        <is>
          <t>O K Representacao de Material de Construcao</t>
        </is>
      </c>
      <c r="D21" s="36" t="inlineStr">
        <is>
          <t>Manaus/AM</t>
        </is>
      </c>
      <c r="E21" s="11" t="inlineStr">
        <is>
          <t>representacao e distribuicao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externo</t>
        </is>
      </c>
      <c r="B22" s="18" t="n">
        <v>4</v>
      </c>
      <c r="C22" s="10" t="inlineStr">
        <is>
          <t>Portobello / Eliane / Portinari</t>
        </is>
      </c>
      <c r="D22" s="10" t="inlineStr">
        <is>
          <t>Nacional</t>
        </is>
      </c>
      <c r="E22" s="11" t="inlineStr">
        <is>
          <t>porcelanato externo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externo</t>
        </is>
      </c>
      <c r="B23" s="18" t="n">
        <v>5</v>
      </c>
      <c r="C23" s="10" t="inlineStr">
        <is>
          <t>Fabricantes de WPC (deck coextrudado)</t>
        </is>
      </c>
      <c r="D23" s="10" t="inlineStr">
        <is>
          <t>Nacional</t>
        </is>
      </c>
      <c r="E23" s="11" t="inlineStr">
        <is>
          <t>deck de madeira plastica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eletrica</t>
        </is>
      </c>
      <c r="B24" s="18" t="n">
        <v>1</v>
      </c>
      <c r="C24" s="10" t="inlineStr">
        <is>
          <t>Schneider / Pial Legrand</t>
        </is>
      </c>
      <c r="D24" s="10" t="inlineStr">
        <is>
          <t>Nacional</t>
        </is>
      </c>
      <c r="E24" s="11" t="inlineStr">
        <is>
          <t>tomada, interruptor e placa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eletrica</t>
        </is>
      </c>
      <c r="B25" s="18" t="n">
        <v>2</v>
      </c>
      <c r="C25" s="10" t="inlineStr">
        <is>
          <t>Steck</t>
        </is>
      </c>
      <c r="D25" s="10" t="inlineStr">
        <is>
          <t>Nacional</t>
        </is>
      </c>
      <c r="E25" s="11" t="inlineStr">
        <is>
          <t>dispositivos e quadros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eletrica</t>
        </is>
      </c>
      <c r="B26" s="18" t="n">
        <v>3</v>
      </c>
      <c r="C26" s="10" t="inlineStr">
        <is>
          <t>WEG</t>
        </is>
      </c>
      <c r="D26" s="10" t="inlineStr">
        <is>
          <t>Nacional</t>
        </is>
      </c>
      <c r="E26" s="11" t="inlineStr">
        <is>
          <t>disjuntor, DR e DPS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eletrica</t>
        </is>
      </c>
      <c r="B27" s="18" t="n">
        <v>4</v>
      </c>
      <c r="C27" s="10" t="inlineStr">
        <is>
          <t>Philips / Osram / Stella</t>
        </is>
      </c>
      <c r="D27" s="10" t="inlineStr">
        <is>
          <t>Nacional</t>
        </is>
      </c>
      <c r="E27" s="11" t="inlineStr">
        <is>
          <t>luminaria LED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eletrica</t>
        </is>
      </c>
      <c r="B28" s="18" t="n">
        <v>5</v>
      </c>
      <c r="C28" s="10" t="inlineStr">
        <is>
          <t>Distribuidores eletricos de Manaus</t>
        </is>
      </c>
      <c r="D28" s="36" t="inlineStr">
        <is>
          <t>Manaus/AM</t>
        </is>
      </c>
      <c r="E28" s="11" t="inlineStr">
        <is>
          <t>material eletrico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fachada</t>
        </is>
      </c>
      <c r="B29" s="18" t="n">
        <v>1</v>
      </c>
      <c r="C29" s="10" t="inlineStr">
        <is>
          <t>Metalurgica Aluminova</t>
        </is>
      </c>
      <c r="D29" s="36" t="inlineStr">
        <is>
          <t>Manaus/AM</t>
        </is>
      </c>
      <c r="E29" s="11" t="inlineStr">
        <is>
          <t>ripado e brise em aluminio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fachada</t>
        </is>
      </c>
      <c r="B30" s="18" t="n">
        <v>2</v>
      </c>
      <c r="C30" s="10" t="inlineStr">
        <is>
          <t>Alubrasil / Hydro</t>
        </is>
      </c>
      <c r="D30" s="10" t="inlineStr">
        <is>
          <t>Nacional</t>
        </is>
      </c>
      <c r="E30" s="11" t="inlineStr">
        <is>
          <t>perfil de aluminio extrudado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fachada</t>
        </is>
      </c>
      <c r="B31" s="18" t="n">
        <v>3</v>
      </c>
      <c r="C31" s="10" t="inlineStr">
        <is>
          <t>Fabricantes de brise movel</t>
        </is>
      </c>
      <c r="D31" s="10" t="inlineStr">
        <is>
          <t>Nacional</t>
        </is>
      </c>
      <c r="E31" s="11" t="inlineStr">
        <is>
          <t>mecanismo e guia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fachada</t>
        </is>
      </c>
      <c r="B32" s="18" t="n">
        <v>4</v>
      </c>
      <c r="C32" s="10" t="inlineStr">
        <is>
          <t>Serralherias de Manaus</t>
        </is>
      </c>
      <c r="D32" s="36" t="inlineStr">
        <is>
          <t>Manaus/AM</t>
        </is>
      </c>
      <c r="E32" s="11" t="inlineStr">
        <is>
          <t>montagem e fixacao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fachada</t>
        </is>
      </c>
      <c r="B33" s="18" t="n">
        <v>5</v>
      </c>
      <c r="C33" s="10" t="inlineStr">
        <is>
          <t>Esquadrias Alufynestra</t>
        </is>
      </c>
      <c r="D33" s="36" t="inlineStr">
        <is>
          <t>Manaus/AM</t>
        </is>
      </c>
      <c r="E33" s="11" t="inlineStr">
        <is>
          <t>perfis e acabamento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fundacao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cimento, areia e brita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fundacao</t>
        </is>
      </c>
      <c r="B35" s="18" t="n">
        <v>2</v>
      </c>
      <c r="C35" s="10" t="inlineStr">
        <is>
          <t>Loja do Rei Comercio de Material de Construcao</t>
        </is>
      </c>
      <c r="D35" s="36" t="inlineStr">
        <is>
          <t>Manaus/AM</t>
        </is>
      </c>
      <c r="E35" s="11" t="inlineStr">
        <is>
          <t>maior faturamento do setor na praca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fundacao</t>
        </is>
      </c>
      <c r="B36" s="18" t="n">
        <v>3</v>
      </c>
      <c r="C36" s="10" t="inlineStr">
        <is>
          <t>Bacuri Madeiras e Material de Construcao</t>
        </is>
      </c>
      <c r="D36" s="36" t="inlineStr">
        <is>
          <t>Manaus/AM</t>
        </is>
      </c>
      <c r="E36" s="11" t="inlineStr">
        <is>
          <t>insumos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fundacao</t>
        </is>
      </c>
      <c r="B37" s="18" t="n">
        <v>4</v>
      </c>
      <c r="C37" s="10" t="inlineStr">
        <is>
          <t>Concreteiras locais (usinas de Manaus)</t>
        </is>
      </c>
      <c r="D37" s="36" t="inlineStr">
        <is>
          <t>Manaus/AM</t>
        </is>
      </c>
      <c r="E37" s="11" t="inlineStr">
        <is>
          <t>concreto usinado fck 30 com bombeamento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fundacao</t>
        </is>
      </c>
      <c r="B38" s="18" t="n">
        <v>5</v>
      </c>
      <c r="C38" s="10" t="inlineStr">
        <is>
          <t>Gerdau / ArcelorMittal</t>
        </is>
      </c>
      <c r="D38" s="10" t="inlineStr">
        <is>
          <t>Nacional</t>
        </is>
      </c>
      <c r="E38" s="11" t="inlineStr">
        <is>
          <t>aco CA-50 e tela soldada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revestimento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porcelanato, argamassa e rejunte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revestimento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revestimento e assentamento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revestimento</t>
        </is>
      </c>
      <c r="B41" s="18" t="n">
        <v>3</v>
      </c>
      <c r="C41" s="10" t="inlineStr">
        <is>
          <t>Bacuri Materiais</t>
        </is>
      </c>
      <c r="D41" s="36" t="inlineStr">
        <is>
          <t>Manaus/AM</t>
        </is>
      </c>
      <c r="E41" s="11" t="inlineStr">
        <is>
          <t>revestimento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revestimento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porcelanato, fabricante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revestimento</t>
        </is>
      </c>
      <c r="B43" s="18" t="n">
        <v>5</v>
      </c>
      <c r="C43" s="10" t="inlineStr">
        <is>
          <t>Quartzolit / Votomassa</t>
        </is>
      </c>
      <c r="D43" s="10" t="inlineStr">
        <is>
          <t>Nacional</t>
        </is>
      </c>
      <c r="E43" s="11" t="inlineStr">
        <is>
          <t>argamassa colante e rejunte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2026-09-21T17:34:27Z</dcterms:created>
  <dcterms:modified xsi:type="dcterms:W3CDTF">2026-09-21T17:34:27Z</dcterms:modified>
</cp:coreProperties>
</file>