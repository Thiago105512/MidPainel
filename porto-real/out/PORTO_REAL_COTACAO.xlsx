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'COTAÇÃO'!$A$3:$V$139</definedName>
    <definedName name="_xlnm._FilterDatabase" localSheetId="3" hidden="1">'ESPECIFICAÇÕES'!$A$3:$I$139</definedName>
    <definedName name="_xlnm._FilterDatabase" localSheetId="7" hidden="1">'PEÇAS E CORTE'!$A$4:$F$59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(12.8 %)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chapa dobrada / manta conforme descricao
NORMAS: NBR 10844, NBR 9575</t>
      </text>
    </comment>
    <comment ref="C10" authorId="0" shapeId="0">
      <text>
        <t>XPS; chapa 600 x 1250 mm; espessura 20 mm
NORMAS: NBR 11752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fck 30 MPa, aco CA-50, tela Q196; (H) ate a sondagem: a especificacao muda com o laudo
NORMAS: NBR 12655, NBR 6118, NBR 6122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tubo, conexao ou condutor conforme descricao
NORMAS: NBR 5410, NBR 5626, NBR 8160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descricao; DN25
NORMAS: NBR 5410, NBR 5626, NBR 8160</t>
      </text>
    </comment>
    <comment ref="C52" authorId="0" shapeId="0">
      <text>
        <t>tubo, conexao ou condutor conforme descricao
NORMAS: NBR 5410, NBR 5626, NBR 8160</t>
      </text>
    </comment>
    <comment ref="C53" authorId="0" shapeId="0">
      <text>
        <t>tubo, conexao ou condutor conforme descricao; DN40
NORMAS: NBR 5410, NBR 5626, NBR 8160</t>
      </text>
    </comment>
    <comment ref="C54" authorId="0" shapeId="0">
      <text>
        <t>tubo, conexao ou condutor conforme descricao
NORMAS: NBR 5410, NBR 5626, NBR 8160</t>
      </text>
    </comment>
    <comment ref="C55" authorId="0" shapeId="0">
      <text>
        <t>tubo, conexao ou condutor conforme descricao
NORMAS: NBR 5410, NBR 5626, NBR 8160</t>
      </text>
    </comment>
    <comment ref="C56" authorId="0" shapeId="0">
      <text>
        <t>tubo, conexao ou condutor conforme descricao; DN50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descricao; DN75
NORMAS: NBR 5410, NBR 5626, NBR 8160</t>
      </text>
    </comment>
    <comment ref="C59" authorId="0" shapeId="0">
      <text>
        <t>tubo, conexao ou condutor conforme descricao; DN100
NORMAS: NBR 5410, NBR 5626, NBR 8160</t>
      </text>
    </comment>
    <comment ref="C60" authorId="0" shapeId="0">
      <text>
        <t>tubo, conexao ou condutor conforme descricao; DN20
NORMAS: NBR 5410, NBR 5626, NBR 8160</t>
      </text>
    </comment>
    <comment ref="C61" authorId="0" shapeId="0">
      <text>
        <t>tubo, conexao ou condutor conforme descricao
NORMAS: NBR 5410, NBR 5626, NBR 8160</t>
      </text>
    </comment>
    <comment ref="C62" authorId="0" shapeId="0">
      <text>
        <t>tubo, conexao ou condutor conforme descricao; DN32
NORMAS: NBR 5410, NBR 5626, NBR 8160</t>
      </text>
    </comment>
    <comment ref="C63" authorId="0" shapeId="0">
      <text>
        <t>tipos em uso: AB 4,8x19 ponta broca, AB 5,5x25 ponta broca
NORMAS: NBR 14762 item 8.4</t>
      </text>
    </comment>
    <comment ref="C64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6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7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9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0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9" authorId="0" shapeId="0">
      <text>
        <t>hora de equipe, com encargos e EPI
LACUNA: convencao coletiva vigente e composicao de encargos</t>
      </text>
    </comment>
    <comment ref="C90" authorId="0" shapeId="0">
      <text>
        <t>hora de equipe, com encargos e EPI
LACUNA: convencao coletiva vigente e composicao de encargos</t>
      </text>
    </comment>
    <comment ref="C9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3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4" authorId="0" shapeId="0">
      <text>
        <t>tinta e mao de obra conforme especificacao de acabamento; 2 demaos sobre selador; rendimento declarado na quantidade
NORMAS: NBR 11702, NBR 13245</t>
      </text>
    </comment>
    <comment ref="C95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9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9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8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9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0" authorId="0" shapeId="0">
      <text>
        <t>tinta e mao de obra conforme especificacao de acabamento; 2 demaos sobre selador; rendimento declarado na quantidade
NORMAS: NBR 11702, NBR 13245</t>
      </text>
    </comment>
    <comment ref="C101" authorId="0" shapeId="0">
      <text>
        <t>tinta e mao de obra conforme especificacao de acabamento; 2 demaos sobre selador; rendimento declarado na quantidade
NORMAS: NBR 11702, NBR 13245</t>
      </text>
    </comment>
    <comment ref="C102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0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4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05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06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0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0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2" authorId="0" shapeId="0">
      <text>
        <t>equipamento novo, com garantia de fabrica e instalacao por credenciado
LACUNA: marca e modelo: a capacidade esta dimensionada, a escolha do equipamento e do proprietario</t>
      </text>
    </comment>
    <comment ref="C11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4" authorId="0" shapeId="0">
      <text>
        <t>equipamento novo, com garantia de fabrica e instalacao por credenciado
LACUNA: marca e modelo: a capacidade esta dimensionada, a escolha do equipamento e do proprietario</t>
      </text>
    </comment>
    <comment ref="C115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0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1" authorId="0" shapeId="0">
      <text>
        <t>tinta e mao de obra conforme especificacao de acabamento; 2 demaos sobre selador; rendimento declarado na quantidade
NORMAS: NBR 11702, NBR 13245</t>
      </text>
    </comment>
    <comment ref="C122" authorId="0" shapeId="0">
      <text>
        <t>equipamento novo, com garantia de fabrica e instalacao por credenciado
LACUNA: marca e modelo: a capacidade esta dimensionada, a escolha do equipamento e do proprietario</t>
      </text>
    </comment>
    <comment ref="C12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2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6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8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29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0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2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9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R60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COUNTIF(V4:V139,"COMPLETO")&amp;" de "&amp;136&amp;" itens com 5 propostas"</f>
        <v/>
      </c>
      <c r="T2" s="7">
        <f>IF(I140=0,0,SUMIF(V4:V139,"COMPLETO",I4:I139)/I140)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6202.2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882.5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237.9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384.6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IMP-MANTA</t>
        </is>
      </c>
      <c r="B9" s="10" t="inlineStr">
        <is>
          <t>vedacao</t>
        </is>
      </c>
      <c r="C9" s="11" t="inlineStr">
        <is>
          <t>Impermeabilizacao de area molhada</t>
        </is>
      </c>
      <c r="D9" s="10" t="inlineStr">
        <is>
          <t>m2</t>
        </is>
      </c>
      <c r="E9" s="12" t="n">
        <v>131</v>
      </c>
      <c r="F9" s="13" t="n">
        <v>0</v>
      </c>
      <c r="G9" s="14">
        <f>E9*(1+F9)</f>
        <v/>
      </c>
      <c r="H9" s="15" t="n">
        <v>78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XPS-20</t>
        </is>
      </c>
      <c r="B10" s="10" t="inlineStr">
        <is>
          <t>vedacao</t>
        </is>
      </c>
      <c r="C10" s="11" t="inlineStr">
        <is>
          <t>XPS (ISO strip) 20 mm</t>
        </is>
      </c>
      <c r="D10" s="10" t="inlineStr">
        <is>
          <t>m2</t>
        </is>
      </c>
      <c r="E10" s="12" t="n">
        <v>237.9</v>
      </c>
      <c r="F10" s="13" t="n">
        <v>0</v>
      </c>
      <c r="G10" s="14">
        <f>E10*(1+F10)</f>
        <v/>
      </c>
      <c r="H10" s="15" t="n">
        <v>41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1009.3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163.2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805.3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74.09999999999999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34.1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9802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805.3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FER-TRILHO</t>
        </is>
      </c>
      <c r="B31" s="10" t="inlineStr">
        <is>
          <t>esquadria</t>
        </is>
      </c>
      <c r="C31" s="11" t="inlineStr">
        <is>
          <t>Ferragem: trilho</t>
        </is>
      </c>
      <c r="D31" s="10" t="inlineStr">
        <is>
          <t>m</t>
        </is>
      </c>
      <c r="E31" s="12" t="n">
        <v>45.4</v>
      </c>
      <c r="F31" s="13" t="n">
        <v>0</v>
      </c>
      <c r="G31" s="14">
        <f>E31*(1+F31)</f>
        <v/>
      </c>
      <c r="H31" s="15" t="n">
        <v>96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FER-BATENT</t>
        </is>
      </c>
      <c r="B32" s="10" t="inlineStr">
        <is>
          <t>esquadria</t>
        </is>
      </c>
      <c r="C32" s="11" t="inlineStr">
        <is>
          <t>Ferragem: batente</t>
        </is>
      </c>
      <c r="D32" s="10" t="inlineStr">
        <is>
          <t>un</t>
        </is>
      </c>
      <c r="E32" s="12" t="n">
        <v>14</v>
      </c>
      <c r="F32" s="13" t="n">
        <v>0</v>
      </c>
      <c r="G32" s="14">
        <f>E32*(1+F32)</f>
        <v/>
      </c>
      <c r="H32" s="15" t="n">
        <v>210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FER-FECHO</t>
        </is>
      </c>
      <c r="B33" s="10" t="inlineStr">
        <is>
          <t>esquadria</t>
        </is>
      </c>
      <c r="C33" s="11" t="inlineStr">
        <is>
          <t>Ferragem: fecho</t>
        </is>
      </c>
      <c r="D33" s="10" t="inlineStr">
        <is>
          <t>un</t>
        </is>
      </c>
      <c r="E33" s="12" t="n">
        <v>56</v>
      </c>
      <c r="F33" s="13" t="n">
        <v>0</v>
      </c>
      <c r="G33" s="14">
        <f>E33*(1+F33)</f>
        <v/>
      </c>
      <c r="H33" s="15" t="n">
        <v>42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FER-ROLDAN</t>
        </is>
      </c>
      <c r="B34" s="10" t="inlineStr">
        <is>
          <t>esquadria</t>
        </is>
      </c>
      <c r="C34" s="11" t="inlineStr">
        <is>
          <t>Ferragem: roldana</t>
        </is>
      </c>
      <c r="D34" s="10" t="inlineStr">
        <is>
          <t>un</t>
        </is>
      </c>
      <c r="E34" s="12" t="n">
        <v>116</v>
      </c>
      <c r="F34" s="13" t="n">
        <v>0</v>
      </c>
      <c r="G34" s="14">
        <f>E34*(1+F34)</f>
        <v/>
      </c>
      <c r="H34" s="15" t="n">
        <v>18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FER-FECHAD</t>
        </is>
      </c>
      <c r="B35" s="10" t="inlineStr">
        <is>
          <t>esquadria</t>
        </is>
      </c>
      <c r="C35" s="11" t="inlineStr">
        <is>
          <t>Ferragem: fechadura</t>
        </is>
      </c>
      <c r="D35" s="10" t="inlineStr">
        <is>
          <t>un</t>
        </is>
      </c>
      <c r="E35" s="12" t="n">
        <v>14</v>
      </c>
      <c r="F35" s="13" t="n">
        <v>0</v>
      </c>
      <c r="G35" s="14">
        <f>E35*(1+F35)</f>
        <v/>
      </c>
      <c r="H35" s="15" t="n">
        <v>145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FER-DOBRAD</t>
        </is>
      </c>
      <c r="B36" s="10" t="inlineStr">
        <is>
          <t>esquadria</t>
        </is>
      </c>
      <c r="C36" s="11" t="inlineStr">
        <is>
          <t>Ferragem: dobradica</t>
        </is>
      </c>
      <c r="D36" s="10" t="inlineStr">
        <is>
          <t>un</t>
        </is>
      </c>
      <c r="E36" s="12" t="n">
        <v>42</v>
      </c>
      <c r="F36" s="13" t="n">
        <v>0</v>
      </c>
      <c r="G36" s="14">
        <f>E36*(1+F36)</f>
        <v/>
      </c>
      <c r="H36" s="15" t="n">
        <v>26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FUN-CONC</t>
        </is>
      </c>
      <c r="B37" s="10" t="inlineStr">
        <is>
          <t>fundacao</t>
        </is>
      </c>
      <c r="C37" s="11" t="inlineStr">
        <is>
          <t>Concreto fck 30 MPa</t>
        </is>
      </c>
      <c r="D37" s="10" t="inlineStr">
        <is>
          <t>m3</t>
        </is>
      </c>
      <c r="E37" s="12" t="n">
        <v>37.74</v>
      </c>
      <c r="F37" s="13" t="n">
        <v>0</v>
      </c>
      <c r="G37" s="14">
        <f>E37*(1+F37)</f>
        <v/>
      </c>
      <c r="H37" s="15" t="n">
        <v>520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FUN-ACO</t>
        </is>
      </c>
      <c r="B38" s="10" t="inlineStr">
        <is>
          <t>fundacao</t>
        </is>
      </c>
      <c r="C38" s="11" t="inlineStr">
        <is>
          <t>Aco CA-50 para radier</t>
        </is>
      </c>
      <c r="D38" s="10" t="inlineStr">
        <is>
          <t>kg</t>
        </is>
      </c>
      <c r="E38" s="12" t="n">
        <v>1530.2</v>
      </c>
      <c r="F38" s="13" t="n">
        <v>0</v>
      </c>
      <c r="G38" s="14">
        <f>E38*(1+F38)</f>
        <v/>
      </c>
      <c r="H38" s="15" t="n">
        <v>9.800000000000001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FUN-SUBST</t>
        </is>
      </c>
      <c r="B39" s="10" t="inlineStr">
        <is>
          <t>fundacao</t>
        </is>
      </c>
      <c r="C39" s="11" t="inlineStr">
        <is>
          <t>Substituicao: areia grossa com brita graduada</t>
        </is>
      </c>
      <c r="D39" s="10" t="inlineStr">
        <is>
          <t>m3</t>
        </is>
      </c>
      <c r="E39" s="12" t="n">
        <v>109.1</v>
      </c>
      <c r="F39" s="13" t="n">
        <v>0</v>
      </c>
      <c r="G39" s="14">
        <f>E39*(1+F39)</f>
        <v/>
      </c>
      <c r="H39" s="15" t="n">
        <v>128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FUN-TELA</t>
        </is>
      </c>
      <c r="B40" s="10" t="inlineStr">
        <is>
          <t>fundacao</t>
        </is>
      </c>
      <c r="C40" s="11" t="inlineStr">
        <is>
          <t>Tela soldada Q196</t>
        </is>
      </c>
      <c r="D40" s="10" t="inlineStr">
        <is>
          <t>m2</t>
        </is>
      </c>
      <c r="E40" s="12" t="n">
        <v>410</v>
      </c>
      <c r="F40" s="13" t="n">
        <v>0</v>
      </c>
      <c r="G40" s="14">
        <f>E40*(1+F40)</f>
        <v/>
      </c>
      <c r="H40" s="15" t="n">
        <v>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FUN-BOTA</t>
        </is>
      </c>
      <c r="B41" s="10" t="inlineStr">
        <is>
          <t>fundacao</t>
        </is>
      </c>
      <c r="C41" s="11" t="inlineStr">
        <is>
          <t>Bota-fora do material escavado (empolado 25 %)</t>
        </is>
      </c>
      <c r="D41" s="10" t="inlineStr">
        <is>
          <t>m3</t>
        </is>
      </c>
      <c r="E41" s="12" t="n">
        <v>163.6</v>
      </c>
      <c r="F41" s="13" t="n">
        <v>0</v>
      </c>
      <c r="G41" s="14">
        <f>E41*(1+F41)</f>
        <v/>
      </c>
      <c r="H41" s="15" t="n">
        <v>46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FUN-ESCAV</t>
        </is>
      </c>
      <c r="B42" s="10" t="inlineStr">
        <is>
          <t>fundacao</t>
        </is>
      </c>
      <c r="C42" s="11" t="inlineStr">
        <is>
          <t>Escavacao do aterro superficial reprovado</t>
        </is>
      </c>
      <c r="D42" s="10" t="inlineStr">
        <is>
          <t>m3</t>
        </is>
      </c>
      <c r="E42" s="12" t="n">
        <v>130.9</v>
      </c>
      <c r="F42" s="13" t="n">
        <v>0</v>
      </c>
      <c r="G42" s="14">
        <f>E42*(1+F42)</f>
        <v/>
      </c>
      <c r="H42" s="15" t="n">
        <v>38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FUN-LASTRO</t>
        </is>
      </c>
      <c r="B43" s="10" t="inlineStr">
        <is>
          <t>fundacao</t>
        </is>
      </c>
      <c r="C43" s="11" t="inlineStr">
        <is>
          <t>Lastro de brita graduada</t>
        </is>
      </c>
      <c r="D43" s="10" t="inlineStr">
        <is>
          <t>m3</t>
        </is>
      </c>
      <c r="E43" s="12" t="n">
        <v>21.8</v>
      </c>
      <c r="F43" s="13" t="n">
        <v>0</v>
      </c>
      <c r="G43" s="14">
        <f>E43*(1+F43)</f>
        <v/>
      </c>
      <c r="H43" s="15" t="n">
        <v>145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FUN-COMP</t>
        </is>
      </c>
      <c r="B44" s="10" t="inlineStr">
        <is>
          <t>fundacao</t>
        </is>
      </c>
      <c r="C44" s="11" t="inlineStr">
        <is>
          <t>Compactacao controlada, camadas de 250 mm</t>
        </is>
      </c>
      <c r="D44" s="10" t="inlineStr">
        <is>
          <t>m3</t>
        </is>
      </c>
      <c r="E44" s="12" t="n">
        <v>109.1</v>
      </c>
      <c r="F44" s="13" t="n">
        <v>0</v>
      </c>
      <c r="G44" s="14">
        <f>E44*(1+F44)</f>
        <v/>
      </c>
      <c r="H44" s="15" t="n">
        <v>22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FUN-FORMA</t>
        </is>
      </c>
      <c r="B45" s="10" t="inlineStr">
        <is>
          <t>fundacao</t>
        </is>
      </c>
      <c r="C45" s="11" t="inlineStr">
        <is>
          <t>Forma de borda e engrossamento do perimetro</t>
        </is>
      </c>
      <c r="D45" s="10" t="inlineStr">
        <is>
          <t>m2</t>
        </is>
      </c>
      <c r="E45" s="12" t="n">
        <v>25.4</v>
      </c>
      <c r="F45" s="13" t="n">
        <v>0</v>
      </c>
      <c r="G45" s="14">
        <f>E45*(1+F45)</f>
        <v/>
      </c>
      <c r="H45" s="15" t="n">
        <v>68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FUN-ENSAIO</t>
        </is>
      </c>
      <c r="B46" s="10" t="inlineStr">
        <is>
          <t>fundacao</t>
        </is>
      </c>
      <c r="C46" s="11" t="inlineStr">
        <is>
          <t>Ensaio de densidade in situ por camada</t>
        </is>
      </c>
      <c r="D46" s="10" t="inlineStr">
        <is>
          <t>un</t>
        </is>
      </c>
      <c r="E46" s="12" t="n">
        <v>4</v>
      </c>
      <c r="F46" s="13" t="n">
        <v>0</v>
      </c>
      <c r="G46" s="14">
        <f>E46*(1+F46)</f>
        <v/>
      </c>
      <c r="H46" s="15" t="n">
        <v>380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FUN-LONA</t>
        </is>
      </c>
      <c r="B47" s="10" t="inlineStr">
        <is>
          <t>fundacao</t>
        </is>
      </c>
      <c r="C47" s="11" t="inlineStr">
        <is>
          <t>Lona plastica sob o radier</t>
        </is>
      </c>
      <c r="D47" s="10" t="inlineStr">
        <is>
          <t>m2</t>
        </is>
      </c>
      <c r="E47" s="12" t="n">
        <v>205</v>
      </c>
      <c r="F47" s="13" t="n">
        <v>0</v>
      </c>
      <c r="G47" s="14">
        <f>E47*(1+F47)</f>
        <v/>
      </c>
      <c r="H47" s="15" t="n">
        <v>4.5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MEP-CABO</t>
        </is>
      </c>
      <c r="B48" s="10" t="inlineStr">
        <is>
          <t>instalacao</t>
        </is>
      </c>
      <c r="C48" s="11" t="inlineStr">
        <is>
          <t>Cabo de cobre (fase, neutro e terra)</t>
        </is>
      </c>
      <c r="D48" s="10" t="inlineStr">
        <is>
          <t>m</t>
        </is>
      </c>
      <c r="E48" s="12" t="n">
        <v>2834.4</v>
      </c>
      <c r="F48" s="13" t="n">
        <v>0</v>
      </c>
      <c r="G48" s="14">
        <f>E48*(1+F48)</f>
        <v/>
      </c>
      <c r="H48" s="15" t="n">
        <v>4.2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MEP-ELET</t>
        </is>
      </c>
      <c r="B49" s="10" t="inlineStr">
        <is>
          <t>instalacao</t>
        </is>
      </c>
      <c r="C49" s="11" t="inlineStr">
        <is>
          <t>Eletroduto flexivel</t>
        </is>
      </c>
      <c r="D49" s="10" t="inlineStr">
        <is>
          <t>m</t>
        </is>
      </c>
      <c r="E49" s="12" t="n">
        <v>885.8</v>
      </c>
      <c r="F49" s="13" t="n">
        <v>0</v>
      </c>
      <c r="G49" s="14">
        <f>E49*(1+F49)</f>
        <v/>
      </c>
      <c r="H49" s="15" t="n">
        <v>6.5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MEP-FRIGO</t>
        </is>
      </c>
      <c r="B50" s="10" t="inlineStr">
        <is>
          <t>instalacao</t>
        </is>
      </c>
      <c r="C50" s="11" t="inlineStr">
        <is>
          <t>Linha frigorigena</t>
        </is>
      </c>
      <c r="D50" s="10" t="inlineStr">
        <is>
          <t>m</t>
        </is>
      </c>
      <c r="E50" s="12" t="n">
        <v>56</v>
      </c>
      <c r="F50" s="13" t="n">
        <v>0</v>
      </c>
      <c r="G50" s="14">
        <f>E50*(1+F50)</f>
        <v/>
      </c>
      <c r="H50" s="15" t="n">
        <v>62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MEP-AGUA25</t>
        </is>
      </c>
      <c r="B51" s="10" t="inlineStr">
        <is>
          <t>instalacao</t>
        </is>
      </c>
      <c r="C51" s="11" t="inlineStr">
        <is>
          <t>Tubo agua fria DN25</t>
        </is>
      </c>
      <c r="D51" s="10" t="inlineStr">
        <is>
          <t>m</t>
        </is>
      </c>
      <c r="E51" s="12" t="n">
        <v>188.1</v>
      </c>
      <c r="F51" s="13" t="n">
        <v>0</v>
      </c>
      <c r="G51" s="14">
        <f>E51*(1+F51)</f>
        <v/>
      </c>
      <c r="H51" s="15" t="n">
        <v>18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MEP-CONEX</t>
        </is>
      </c>
      <c r="B52" s="10" t="inlineStr">
        <is>
          <t>instalacao</t>
        </is>
      </c>
      <c r="C52" s="11" t="inlineStr">
        <is>
          <t>Conexoes hidraulicas</t>
        </is>
      </c>
      <c r="D52" s="10" t="inlineStr">
        <is>
          <t>un</t>
        </is>
      </c>
      <c r="E52" s="12" t="n">
        <v>190</v>
      </c>
      <c r="F52" s="13" t="n">
        <v>0</v>
      </c>
      <c r="G52" s="14">
        <f>E52*(1+F52)</f>
        <v/>
      </c>
      <c r="H52" s="15" t="n">
        <v>12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MEP-ESGO40</t>
        </is>
      </c>
      <c r="B53" s="10" t="inlineStr">
        <is>
          <t>instalacao</t>
        </is>
      </c>
      <c r="C53" s="11" t="inlineStr">
        <is>
          <t>Tubo esgoto DN40</t>
        </is>
      </c>
      <c r="D53" s="10" t="inlineStr">
        <is>
          <t>m</t>
        </is>
      </c>
      <c r="E53" s="12" t="n">
        <v>62.2</v>
      </c>
      <c r="F53" s="13" t="n">
        <v>0</v>
      </c>
      <c r="G53" s="14">
        <f>E53*(1+F53)</f>
        <v/>
      </c>
      <c r="H53" s="15" t="n">
        <v>26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MEP-ISOL</t>
        </is>
      </c>
      <c r="B54" s="10" t="inlineStr">
        <is>
          <t>instalacao</t>
        </is>
      </c>
      <c r="C54" s="11" t="inlineStr">
        <is>
          <t>Isolamento de linha</t>
        </is>
      </c>
      <c r="D54" s="10" t="inlineStr">
        <is>
          <t>m</t>
        </is>
      </c>
      <c r="E54" s="12" t="n">
        <v>112</v>
      </c>
      <c r="F54" s="13" t="n">
        <v>0</v>
      </c>
      <c r="G54" s="14">
        <f>E54*(1+F54)</f>
        <v/>
      </c>
      <c r="H54" s="15" t="n">
        <v>14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MEP-DISJ</t>
        </is>
      </c>
      <c r="B55" s="10" t="inlineStr">
        <is>
          <t>instalacao</t>
        </is>
      </c>
      <c r="C55" s="11" t="inlineStr">
        <is>
          <t>Disjuntor</t>
        </is>
      </c>
      <c r="D55" s="10" t="inlineStr">
        <is>
          <t>un</t>
        </is>
      </c>
      <c r="E55" s="12" t="n">
        <v>36</v>
      </c>
      <c r="F55" s="13" t="n">
        <v>0</v>
      </c>
      <c r="G55" s="14">
        <f>E55*(1+F55)</f>
        <v/>
      </c>
      <c r="H55" s="15" t="n">
        <v>38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MEP-ESGO50</t>
        </is>
      </c>
      <c r="B56" s="10" t="inlineStr">
        <is>
          <t>instalacao</t>
        </is>
      </c>
      <c r="C56" s="11" t="inlineStr">
        <is>
          <t>Tubo esgoto DN50</t>
        </is>
      </c>
      <c r="D56" s="10" t="inlineStr">
        <is>
          <t>m</t>
        </is>
      </c>
      <c r="E56" s="12" t="n">
        <v>50.6</v>
      </c>
      <c r="F56" s="13" t="n">
        <v>0</v>
      </c>
      <c r="G56" s="14">
        <f>E56*(1+F56)</f>
        <v/>
      </c>
      <c r="H56" s="15" t="n">
        <v>26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MEP-CAIXA</t>
        </is>
      </c>
      <c r="B57" s="10" t="inlineStr">
        <is>
          <t>instalacao</t>
        </is>
      </c>
      <c r="C57" s="11" t="inlineStr">
        <is>
          <t>Caixa de passagem e de tomada</t>
        </is>
      </c>
      <c r="D57" s="10" t="inlineStr">
        <is>
          <t>un</t>
        </is>
      </c>
      <c r="E57" s="12" t="n">
        <v>112</v>
      </c>
      <c r="F57" s="13" t="n">
        <v>0</v>
      </c>
      <c r="G57" s="14">
        <f>E57*(1+F57)</f>
        <v/>
      </c>
      <c r="H57" s="15" t="n">
        <v>9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MEP-ESGO75</t>
        </is>
      </c>
      <c r="B58" s="10" t="inlineStr">
        <is>
          <t>instalacao</t>
        </is>
      </c>
      <c r="C58" s="11" t="inlineStr">
        <is>
          <t>Tubo esgoto DN75</t>
        </is>
      </c>
      <c r="D58" s="10" t="inlineStr">
        <is>
          <t>m</t>
        </is>
      </c>
      <c r="E58" s="12" t="n">
        <v>38.3</v>
      </c>
      <c r="F58" s="13" t="n">
        <v>0</v>
      </c>
      <c r="G58" s="14">
        <f>E58*(1+F58)</f>
        <v/>
      </c>
      <c r="H58" s="15" t="n">
        <v>26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MEP-ESGO100</t>
        </is>
      </c>
      <c r="B59" s="10" t="inlineStr">
        <is>
          <t>instalacao</t>
        </is>
      </c>
      <c r="C59" s="11" t="inlineStr">
        <is>
          <t>Tubo esgoto DN100</t>
        </is>
      </c>
      <c r="D59" s="10" t="inlineStr">
        <is>
          <t>m</t>
        </is>
      </c>
      <c r="E59" s="12" t="n">
        <v>34.9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MEP-AGUA20</t>
        </is>
      </c>
      <c r="B60" s="10" t="inlineStr">
        <is>
          <t>instalacao</t>
        </is>
      </c>
      <c r="C60" s="11" t="inlineStr">
        <is>
          <t>Tubo agua quente DN20</t>
        </is>
      </c>
      <c r="D60" s="10" t="inlineStr">
        <is>
          <t>m</t>
        </is>
      </c>
      <c r="E60" s="12" t="n">
        <v>39.8</v>
      </c>
      <c r="F60" s="13" t="n">
        <v>0</v>
      </c>
      <c r="G60" s="14">
        <f>E60*(1+F60)</f>
        <v/>
      </c>
      <c r="H60" s="15" t="n">
        <v>18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MEP-DRENO</t>
        </is>
      </c>
      <c r="B61" s="10" t="inlineStr">
        <is>
          <t>instalacao</t>
        </is>
      </c>
      <c r="C61" s="11" t="inlineStr">
        <is>
          <t>Dreno de condensado</t>
        </is>
      </c>
      <c r="D61" s="10" t="inlineStr">
        <is>
          <t>m</t>
        </is>
      </c>
      <c r="E61" s="12" t="n">
        <v>44.8</v>
      </c>
      <c r="F61" s="13" t="n">
        <v>0</v>
      </c>
      <c r="G61" s="14">
        <f>E61*(1+F61)</f>
        <v/>
      </c>
      <c r="H61" s="15" t="n">
        <v>9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MEP-AGUA32</t>
        </is>
      </c>
      <c r="B62" s="10" t="inlineStr">
        <is>
          <t>instalacao</t>
        </is>
      </c>
      <c r="C62" s="11" t="inlineStr">
        <is>
          <t>Tubo agua fria DN32</t>
        </is>
      </c>
      <c r="D62" s="10" t="inlineStr">
        <is>
          <t>m</t>
        </is>
      </c>
      <c r="E62" s="12" t="n">
        <v>5.6</v>
      </c>
      <c r="F62" s="13" t="n">
        <v>0</v>
      </c>
      <c r="G62" s="14">
        <f>E62*(1+F62)</f>
        <v/>
      </c>
      <c r="H62" s="15" t="n">
        <v>18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PAR-EST</t>
        </is>
      </c>
      <c r="B63" s="10" t="inlineStr">
        <is>
          <t>ligacao</t>
        </is>
      </c>
      <c r="C63" s="11" t="inlineStr">
        <is>
          <t>Parafuso estrutural auto-brocante</t>
        </is>
      </c>
      <c r="D63" s="10" t="inlineStr">
        <is>
          <t>un</t>
        </is>
      </c>
      <c r="E63" s="12" t="n">
        <v>5128</v>
      </c>
      <c r="F63" s="13" t="n">
        <v>0</v>
      </c>
      <c r="G63" s="14">
        <f>E63*(1+F63)</f>
        <v/>
      </c>
      <c r="H63" s="15" t="n">
        <v>0.28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FAC-MINERAL</t>
        </is>
      </c>
      <c r="B64" s="10" t="inlineStr">
        <is>
          <t>fachada</t>
        </is>
      </c>
      <c r="C64" s="11" t="inlineStr">
        <is>
          <t>Acrescimo: placa cimenticia com revestimento mineral de fabrica, junta seca 6 mm</t>
        </is>
      </c>
      <c r="D64" s="10" t="inlineStr">
        <is>
          <t>m2</t>
        </is>
      </c>
      <c r="E64" s="12" t="n">
        <v>141</v>
      </c>
      <c r="F64" s="13" t="n">
        <v>0</v>
      </c>
      <c r="G64" s="14">
        <f>E64*(1+F64)</f>
        <v/>
      </c>
      <c r="H64" s="15" t="n">
        <v>88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BRI-RIPA</t>
        </is>
      </c>
      <c r="B65" s="10" t="inlineStr">
        <is>
          <t>fachada</t>
        </is>
      </c>
      <c r="C65" s="11" t="inlineStr">
        <is>
          <t>Ripa de fachada: tubular de aluminio 50 x 20 x 1,2 mm</t>
        </is>
      </c>
      <c r="D65" s="10" t="inlineStr">
        <is>
          <t>m</t>
        </is>
      </c>
      <c r="E65" s="12" t="n">
        <v>205.5</v>
      </c>
      <c r="F65" s="13" t="n">
        <v>0</v>
      </c>
      <c r="G65" s="14">
        <f>E65*(1+F65)</f>
        <v/>
      </c>
      <c r="H65" s="15" t="n">
        <v>42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FAC-BASE</t>
        </is>
      </c>
      <c r="B66" s="10" t="inlineStr">
        <is>
          <t>fachada</t>
        </is>
      </c>
      <c r="C66" s="11" t="inlineStr">
        <is>
          <t>Basecoat de regularizacao sobre placa cimenticia</t>
        </is>
      </c>
      <c r="D66" s="10" t="inlineStr">
        <is>
          <t>m2</t>
        </is>
      </c>
      <c r="E66" s="12" t="n">
        <v>168.2</v>
      </c>
      <c r="F66" s="13" t="n">
        <v>0</v>
      </c>
      <c r="G66" s="14">
        <f>E66*(1+F66)</f>
        <v/>
      </c>
      <c r="H66" s="15" t="n">
        <v>34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FAC-MAO</t>
        </is>
      </c>
      <c r="B67" s="10" t="inlineStr">
        <is>
          <t>fachada</t>
        </is>
      </c>
      <c r="C67" s="11" t="inlineStr">
        <is>
          <t>Mao de obra de fachada (basecoat, tela, junta e pintura)</t>
        </is>
      </c>
      <c r="D67" s="10" t="inlineStr">
        <is>
          <t>m2</t>
        </is>
      </c>
      <c r="E67" s="12" t="n">
        <v>168.2</v>
      </c>
      <c r="F67" s="13" t="n">
        <v>0</v>
      </c>
      <c r="G67" s="14">
        <f>E67*(1+F67)</f>
        <v/>
      </c>
      <c r="H67" s="15" t="n">
        <v>34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BRI-MEC</t>
        </is>
      </c>
      <c r="B68" s="10" t="inlineStr">
        <is>
          <t>fachada</t>
        </is>
      </c>
      <c r="C68" s="11" t="inlineStr">
        <is>
          <t>Mecanismo de brise movel: guia, roldana e trava</t>
        </is>
      </c>
      <c r="D68" s="10" t="inlineStr">
        <is>
          <t>cj</t>
        </is>
      </c>
      <c r="E68" s="12" t="n">
        <v>2</v>
      </c>
      <c r="F68" s="13" t="n">
        <v>0</v>
      </c>
      <c r="G68" s="14">
        <f>E68*(1+F68)</f>
        <v/>
      </c>
      <c r="H68" s="15" t="n">
        <v>2400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FAC-JUNTA-SECA</t>
        </is>
      </c>
      <c r="B69" s="10" t="inlineStr">
        <is>
          <t>fachada</t>
        </is>
      </c>
      <c r="C69" s="11" t="inlineStr">
        <is>
          <t>Junta seca: perfil EPDM e fundo de junta</t>
        </is>
      </c>
      <c r="D69" s="10" t="inlineStr">
        <is>
          <t>m</t>
        </is>
      </c>
      <c r="E69" s="12" t="n">
        <v>176.3</v>
      </c>
      <c r="F69" s="13" t="n">
        <v>0</v>
      </c>
      <c r="G69" s="14">
        <f>E69*(1+F69)</f>
        <v/>
      </c>
      <c r="H69" s="15" t="n">
        <v>22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FAC-TINTA</t>
        </is>
      </c>
      <c r="B70" s="10" t="inlineStr">
        <is>
          <t>fachada</t>
        </is>
      </c>
      <c r="C70" s="11" t="inlineStr">
        <is>
          <t>Tinta acrilica elastomerica lisa com biocida, 2 demaos</t>
        </is>
      </c>
      <c r="D70" s="10" t="inlineStr">
        <is>
          <t>L</t>
        </is>
      </c>
      <c r="E70" s="12" t="n">
        <v>48.1</v>
      </c>
      <c r="F70" s="13" t="n">
        <v>0</v>
      </c>
      <c r="G70" s="14">
        <f>E70*(1+F70)</f>
        <v/>
      </c>
      <c r="H70" s="15" t="n">
        <v>68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FAC-JUNTA</t>
        </is>
      </c>
      <c r="B71" s="10" t="inlineStr">
        <is>
          <t>fachada</t>
        </is>
      </c>
      <c r="C71" s="11" t="inlineStr">
        <is>
          <t>Tratamento de junta externa: fundo de junta e selante PU</t>
        </is>
      </c>
      <c r="D71" s="10" t="inlineStr">
        <is>
          <t>m</t>
        </is>
      </c>
      <c r="E71" s="12" t="n">
        <v>210.3</v>
      </c>
      <c r="F71" s="13" t="n">
        <v>0</v>
      </c>
      <c r="G71" s="14">
        <f>E71*(1+F71)</f>
        <v/>
      </c>
      <c r="H71" s="15" t="n">
        <v>14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FAC-TELA</t>
        </is>
      </c>
      <c r="B72" s="10" t="inlineStr">
        <is>
          <t>fachada</t>
        </is>
      </c>
      <c r="C72" s="11" t="inlineStr">
        <is>
          <t>Tela de fibra de vidro alcali-resistente, embutida no basecoat</t>
        </is>
      </c>
      <c r="D72" s="10" t="inlineStr">
        <is>
          <t>m2</t>
        </is>
      </c>
      <c r="E72" s="12" t="n">
        <v>185</v>
      </c>
      <c r="F72" s="13" t="n">
        <v>0</v>
      </c>
      <c r="G72" s="14">
        <f>E72*(1+F72)</f>
        <v/>
      </c>
      <c r="H72" s="15" t="n">
        <v>9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BRI-TRAV</t>
        </is>
      </c>
      <c r="B73" s="10" t="inlineStr">
        <is>
          <t>fachada</t>
        </is>
      </c>
      <c r="C73" s="11" t="inlineStr">
        <is>
          <t>Travessa de brise: U 50x25x1,2 aluminio</t>
        </is>
      </c>
      <c r="D73" s="10" t="inlineStr">
        <is>
          <t>m</t>
        </is>
      </c>
      <c r="E73" s="12" t="n">
        <v>33.6</v>
      </c>
      <c r="F73" s="13" t="n">
        <v>0</v>
      </c>
      <c r="G73" s="14">
        <f>E73*(1+F73)</f>
        <v/>
      </c>
      <c r="H73" s="15" t="n">
        <v>38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BRI-FIX</t>
        </is>
      </c>
      <c r="B74" s="10" t="inlineStr">
        <is>
          <t>fachada</t>
        </is>
      </c>
      <c r="C74" s="11" t="inlineStr">
        <is>
          <t>Fixacao de travessa no montante</t>
        </is>
      </c>
      <c r="D74" s="10" t="inlineStr">
        <is>
          <t>un</t>
        </is>
      </c>
      <c r="E74" s="12" t="n">
        <v>66</v>
      </c>
      <c r="F74" s="13" t="n">
        <v>0</v>
      </c>
      <c r="G74" s="14">
        <f>E74*(1+F74)</f>
        <v/>
      </c>
      <c r="H74" s="15" t="n">
        <v>6.5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EXT-BLOCO</t>
        </is>
      </c>
      <c r="B75" s="10" t="inlineStr">
        <is>
          <t>externo</t>
        </is>
      </c>
      <c r="C75" s="11" t="inlineStr">
        <is>
          <t>Muro: bloco de concreto estrutural 14 x 19 x 39 ap</t>
        </is>
      </c>
      <c r="D75" s="10" t="inlineStr">
        <is>
          <t>un</t>
        </is>
      </c>
      <c r="E75" s="12" t="n">
        <v>3118</v>
      </c>
      <c r="F75" s="13" t="n">
        <v>0</v>
      </c>
      <c r="G75" s="14">
        <f>E75*(1+F75)</f>
        <v/>
      </c>
      <c r="H75" s="15" t="n">
        <v>4.8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EXT-PISO2</t>
        </is>
      </c>
      <c r="B76" s="10" t="inlineStr">
        <is>
          <t>externo</t>
        </is>
      </c>
      <c r="C76" s="11" t="inlineStr">
        <is>
          <t>lounge e circulacao do deck: WPC coextrudado claro</t>
        </is>
      </c>
      <c r="D76" s="10" t="inlineStr">
        <is>
          <t>m2</t>
        </is>
      </c>
      <c r="E76" s="12" t="n">
        <v>33.12</v>
      </c>
      <c r="F76" s="13" t="n">
        <v>0</v>
      </c>
      <c r="G76" s="14">
        <f>E76*(1+F76)</f>
        <v/>
      </c>
      <c r="H76" s="15" t="n">
        <v>320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EXT-PISC-EST</t>
        </is>
      </c>
      <c r="B77" s="10" t="inlineStr">
        <is>
          <t>externo</t>
        </is>
      </c>
      <c r="C77" s="11" t="inlineStr">
        <is>
          <t>Piscina: casca de concreto armado 150 mm</t>
        </is>
      </c>
      <c r="D77" s="10" t="inlineStr">
        <is>
          <t>m3</t>
        </is>
      </c>
      <c r="E77" s="12" t="n">
        <v>4.57</v>
      </c>
      <c r="F77" s="13" t="n">
        <v>0</v>
      </c>
      <c r="G77" s="14">
        <f>E77*(1+F77)</f>
        <v/>
      </c>
      <c r="H77" s="15" t="n">
        <v>1450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EXT-PISO4</t>
        </is>
      </c>
      <c r="B78" s="10" t="inlineStr">
        <is>
          <t>externo</t>
        </is>
      </c>
      <c r="C78" s="11" t="inlineStr">
        <is>
          <t>patio e deck descoberto: porcelanato externo claro R11</t>
        </is>
      </c>
      <c r="D78" s="10" t="inlineStr">
        <is>
          <t>m2</t>
        </is>
      </c>
      <c r="E78" s="12" t="n">
        <v>43.2</v>
      </c>
      <c r="F78" s="13" t="n">
        <v>0</v>
      </c>
      <c r="G78" s="14">
        <f>E78*(1+F78)</f>
        <v/>
      </c>
      <c r="H78" s="15" t="n">
        <v>148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EXT-PISC-REV</t>
        </is>
      </c>
      <c r="B79" s="10" t="inlineStr">
        <is>
          <t>externo</t>
        </is>
      </c>
      <c r="C79" s="11" t="inlineStr">
        <is>
          <t>Piscina: revestimento de fundo e paredes</t>
        </is>
      </c>
      <c r="D79" s="10" t="inlineStr">
        <is>
          <t>m2</t>
        </is>
      </c>
      <c r="E79" s="12" t="n">
        <v>30.43</v>
      </c>
      <c r="F79" s="13" t="n">
        <v>0</v>
      </c>
      <c r="G79" s="14">
        <f>E79*(1+F79)</f>
        <v/>
      </c>
      <c r="H79" s="15" t="n">
        <v>210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EXT-VASO</t>
        </is>
      </c>
      <c r="B80" s="10" t="inlineStr">
        <is>
          <t>externo</t>
        </is>
      </c>
      <c r="C80" s="11" t="inlineStr">
        <is>
          <t>Vaso e planta em vaso</t>
        </is>
      </c>
      <c r="D80" s="10" t="inlineStr">
        <is>
          <t>un</t>
        </is>
      </c>
      <c r="E80" s="12" t="n">
        <v>24</v>
      </c>
      <c r="F80" s="13" t="n">
        <v>0</v>
      </c>
      <c r="G80" s="14">
        <f>E80*(1+F80)</f>
        <v/>
      </c>
      <c r="H80" s="15" t="n">
        <v>240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EXT-GRAMA</t>
        </is>
      </c>
      <c r="B81" s="10" t="inlineStr">
        <is>
          <t>externo</t>
        </is>
      </c>
      <c r="C81" s="11" t="inlineStr">
        <is>
          <t>Grama e canteiro</t>
        </is>
      </c>
      <c r="D81" s="10" t="inlineStr">
        <is>
          <t>m2</t>
        </is>
      </c>
      <c r="E81" s="12" t="n">
        <v>137.16</v>
      </c>
      <c r="F81" s="13" t="n">
        <v>0</v>
      </c>
      <c r="G81" s="14">
        <f>E81*(1+F81)</f>
        <v/>
      </c>
      <c r="H81" s="15" t="n">
        <v>38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EXT-HIDROF</t>
        </is>
      </c>
      <c r="B82" s="10" t="inlineStr">
        <is>
          <t>externo</t>
        </is>
      </c>
      <c r="C82" s="11" t="inlineStr">
        <is>
          <t>Hidrofugante incolor no muro aparente</t>
        </is>
      </c>
      <c r="D82" s="10" t="inlineStr">
        <is>
          <t>m2</t>
        </is>
      </c>
      <c r="E82" s="12" t="n">
        <v>249.5</v>
      </c>
      <c r="F82" s="13" t="n">
        <v>0</v>
      </c>
      <c r="G82" s="14">
        <f>E82*(1+F82)</f>
        <v/>
      </c>
      <c r="H82" s="15" t="n">
        <v>18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EXT-ARV</t>
        </is>
      </c>
      <c r="B83" s="10" t="inlineStr">
        <is>
          <t>externo</t>
        </is>
      </c>
      <c r="C83" s="11" t="inlineStr">
        <is>
          <t>Arvore de porte</t>
        </is>
      </c>
      <c r="D83" s="10" t="inlineStr">
        <is>
          <t>un</t>
        </is>
      </c>
      <c r="E83" s="12" t="n">
        <v>5</v>
      </c>
      <c r="F83" s="13" t="n">
        <v>0</v>
      </c>
      <c r="G83" s="14">
        <f>E83*(1+F83)</f>
        <v/>
      </c>
      <c r="H83" s="15" t="n">
        <v>780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EXT-PISO1</t>
        </is>
      </c>
      <c r="B84" s="10" t="inlineStr">
        <is>
          <t>externo</t>
        </is>
      </c>
      <c r="C84" s="11" t="inlineStr">
        <is>
          <t>faixa seca da piscina: porcelanato externo claro R11</t>
        </is>
      </c>
      <c r="D84" s="10" t="inlineStr">
        <is>
          <t>m2</t>
        </is>
      </c>
      <c r="E84" s="12" t="n">
        <v>24.3</v>
      </c>
      <c r="F84" s="13" t="n">
        <v>0</v>
      </c>
      <c r="G84" s="14">
        <f>E84*(1+F84)</f>
        <v/>
      </c>
      <c r="H84" s="15" t="n">
        <v>148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EXT-BORDA</t>
        </is>
      </c>
      <c r="B85" s="10" t="inlineStr">
        <is>
          <t>externo</t>
        </is>
      </c>
      <c r="C85" s="11" t="inlineStr">
        <is>
          <t>Borda de piscina</t>
        </is>
      </c>
      <c r="D85" s="10" t="inlineStr">
        <is>
          <t>m</t>
        </is>
      </c>
      <c r="E85" s="12" t="n">
        <v>17.4</v>
      </c>
      <c r="F85" s="13" t="n">
        <v>0</v>
      </c>
      <c r="G85" s="14">
        <f>E85*(1+F85)</f>
        <v/>
      </c>
      <c r="H85" s="15" t="n">
        <v>185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EXT-PISO3</t>
        </is>
      </c>
      <c r="B86" s="10" t="inlineStr">
        <is>
          <t>externo</t>
        </is>
      </c>
      <c r="C86" s="11" t="inlineStr">
        <is>
          <t>passeio e acesso: piso drenante intertravado claro</t>
        </is>
      </c>
      <c r="D86" s="10" t="inlineStr">
        <is>
          <t>m2</t>
        </is>
      </c>
      <c r="E86" s="12" t="n">
        <v>30.96</v>
      </c>
      <c r="F86" s="13" t="n">
        <v>0</v>
      </c>
      <c r="G86" s="14">
        <f>E86*(1+F86)</f>
        <v/>
      </c>
      <c r="H86" s="15" t="n">
        <v>96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EXT-PISO5</t>
        </is>
      </c>
      <c r="B87" s="10" t="inlineStr">
        <is>
          <t>externo</t>
        </is>
      </c>
      <c r="C87" s="11" t="inlineStr">
        <is>
          <t>varanda do pavimento superior: porcelanato externo claro R11</t>
        </is>
      </c>
      <c r="D87" s="10" t="inlineStr">
        <is>
          <t>m2</t>
        </is>
      </c>
      <c r="E87" s="12" t="n">
        <v>14.04</v>
      </c>
      <c r="F87" s="13" t="n">
        <v>0</v>
      </c>
      <c r="G87" s="14">
        <f>E87*(1+F87)</f>
        <v/>
      </c>
      <c r="H87" s="15" t="n">
        <v>148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EXT-GRAUTE</t>
        </is>
      </c>
      <c r="B88" s="10" t="inlineStr">
        <is>
          <t>externo</t>
        </is>
      </c>
      <c r="C88" s="11" t="inlineStr">
        <is>
          <t>Graute de cinta e pilarete do muro</t>
        </is>
      </c>
      <c r="D88" s="10" t="inlineStr">
        <is>
          <t>m3</t>
        </is>
      </c>
      <c r="E88" s="12" t="n">
        <v>2.99</v>
      </c>
      <c r="F88" s="13" t="n">
        <v>0</v>
      </c>
      <c r="G88" s="14">
        <f>E88*(1+F88)</f>
        <v/>
      </c>
      <c r="H88" s="15" t="n">
        <v>620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MO-MON</t>
        </is>
      </c>
      <c r="B89" s="10" t="inlineStr">
        <is>
          <t>servico</t>
        </is>
      </c>
      <c r="C89" s="11" t="inlineStr">
        <is>
          <t>Mao de obra de montagem</t>
        </is>
      </c>
      <c r="D89" s="10" t="inlineStr">
        <is>
          <t>h</t>
        </is>
      </c>
      <c r="E89" s="12" t="n">
        <v>765.7</v>
      </c>
      <c r="F89" s="13" t="n">
        <v>0</v>
      </c>
      <c r="G89" s="14">
        <f>E89*(1+F89)</f>
        <v/>
      </c>
      <c r="H89" s="15" t="n">
        <v>42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MO-FAB</t>
        </is>
      </c>
      <c r="B90" s="10" t="inlineStr">
        <is>
          <t>servico</t>
        </is>
      </c>
      <c r="C90" s="11" t="inlineStr">
        <is>
          <t>Mao de obra de fabrica</t>
        </is>
      </c>
      <c r="D90" s="10" t="inlineStr">
        <is>
          <t>h</t>
        </is>
      </c>
      <c r="E90" s="12" t="n">
        <v>46.4</v>
      </c>
      <c r="F90" s="13" t="n">
        <v>0</v>
      </c>
      <c r="G90" s="14">
        <f>E90*(1+F90)</f>
        <v/>
      </c>
      <c r="H90" s="15" t="n">
        <v>38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REV-PISO</t>
        </is>
      </c>
      <c r="B91" s="10" t="inlineStr">
        <is>
          <t>revestimento</t>
        </is>
      </c>
      <c r="C91" s="11" t="inlineStr">
        <is>
          <t>Piso interno (porcelanato retificado)</t>
        </is>
      </c>
      <c r="D91" s="10" t="inlineStr">
        <is>
          <t>m2</t>
        </is>
      </c>
      <c r="E91" s="12" t="n">
        <v>355.6</v>
      </c>
      <c r="F91" s="13" t="n">
        <v>0</v>
      </c>
      <c r="G91" s="14">
        <f>E91*(1+F91)</f>
        <v/>
      </c>
      <c r="H91" s="15" t="n">
        <v>118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MAR-GAB</t>
        </is>
      </c>
      <c r="B92" s="10" t="inlineStr">
        <is>
          <t>marcenaria</t>
        </is>
      </c>
      <c r="C92" s="11" t="inlineStr">
        <is>
          <t>Gabinete sob bancada, sob medida</t>
        </is>
      </c>
      <c r="D92" s="10" t="inlineStr">
        <is>
          <t>m</t>
        </is>
      </c>
      <c r="E92" s="12" t="n">
        <v>12</v>
      </c>
      <c r="F92" s="13" t="n">
        <v>0</v>
      </c>
      <c r="G92" s="14">
        <f>E92*(1+F92)</f>
        <v/>
      </c>
      <c r="H92" s="15" t="n">
        <v>1450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REV-PAREDE</t>
        </is>
      </c>
      <c r="B93" s="10" t="inlineStr">
        <is>
          <t>revestimento</t>
        </is>
      </c>
      <c r="C93" s="11" t="inlineStr">
        <is>
          <t>Revestimento ceramico de parede em area molhada</t>
        </is>
      </c>
      <c r="D93" s="10" t="inlineStr">
        <is>
          <t>m2</t>
        </is>
      </c>
      <c r="E93" s="12" t="n">
        <v>155.5</v>
      </c>
      <c r="F93" s="13" t="n">
        <v>0</v>
      </c>
      <c r="G93" s="14">
        <f>E93*(1+F93)</f>
        <v/>
      </c>
      <c r="H93" s="15" t="n">
        <v>96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PIN-PAREDE</t>
        </is>
      </c>
      <c r="B94" s="10" t="inlineStr">
        <is>
          <t>pintura</t>
        </is>
      </c>
      <c r="C94" s="11" t="inlineStr">
        <is>
          <t>Pintura de parede interna (latex acrilico, 2 demaos)</t>
        </is>
      </c>
      <c r="D94" s="10" t="inlineStr">
        <is>
          <t>m2</t>
        </is>
      </c>
      <c r="E94" s="12" t="n">
        <v>558.7</v>
      </c>
      <c r="F94" s="13" t="n">
        <v>0</v>
      </c>
      <c r="G94" s="14">
        <f>E94*(1+F94)</f>
        <v/>
      </c>
      <c r="H94" s="15" t="n">
        <v>26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EQP-SPLIT18</t>
        </is>
      </c>
      <c r="B95" s="10" t="inlineStr">
        <is>
          <t>equipamentos</t>
        </is>
      </c>
      <c r="C95" s="11" t="inlineStr">
        <is>
          <t>Split inverter 18.000 BTU/h</t>
        </is>
      </c>
      <c r="D95" s="10" t="inlineStr">
        <is>
          <t>un</t>
        </is>
      </c>
      <c r="E95" s="12" t="n">
        <v>4</v>
      </c>
      <c r="F95" s="13" t="n">
        <v>0</v>
      </c>
      <c r="G95" s="14">
        <f>E95*(1+F95)</f>
        <v/>
      </c>
      <c r="H95" s="15" t="n">
        <v>3200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LOU-BOX</t>
        </is>
      </c>
      <c r="B96" s="10" t="inlineStr">
        <is>
          <t>loucas</t>
        </is>
      </c>
      <c r="C96" s="11" t="inlineStr">
        <is>
          <t>Box de vidro temperado 8 mm, 1.900 mm de altura</t>
        </is>
      </c>
      <c r="D96" s="10" t="inlineStr">
        <is>
          <t>m2</t>
        </is>
      </c>
      <c r="E96" s="12" t="n">
        <v>16.1</v>
      </c>
      <c r="F96" s="13" t="n">
        <v>0</v>
      </c>
      <c r="G96" s="14">
        <f>E96*(1+F96)</f>
        <v/>
      </c>
      <c r="H96" s="15" t="n">
        <v>620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REV-ARG</t>
        </is>
      </c>
      <c r="B97" s="10" t="inlineStr">
        <is>
          <t>revestimento</t>
        </is>
      </c>
      <c r="C97" s="11" t="inlineStr">
        <is>
          <t>Argamassa colante AC-III e regularizacao</t>
        </is>
      </c>
      <c r="D97" s="10" t="inlineStr">
        <is>
          <t>m2</t>
        </is>
      </c>
      <c r="E97" s="12" t="n">
        <v>511.1</v>
      </c>
      <c r="F97" s="13" t="n">
        <v>0</v>
      </c>
      <c r="G97" s="14">
        <f>E97*(1+F97)</f>
        <v/>
      </c>
      <c r="H97" s="15" t="n">
        <v>18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MAR-TAMPO</t>
        </is>
      </c>
      <c r="B98" s="10" t="inlineStr">
        <is>
          <t>marcenaria</t>
        </is>
      </c>
      <c r="C98" s="11" t="inlineStr">
        <is>
          <t>Tampo de bancada (quartzo/granito)</t>
        </is>
      </c>
      <c r="D98" s="10" t="inlineStr">
        <is>
          <t>m2</t>
        </is>
      </c>
      <c r="E98" s="12" t="n">
        <v>7.17</v>
      </c>
      <c r="F98" s="13" t="n">
        <v>0</v>
      </c>
      <c r="G98" s="14">
        <f>E98*(1+F98)</f>
        <v/>
      </c>
      <c r="H98" s="15" t="n">
        <v>1250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REV-RODAPE</t>
        </is>
      </c>
      <c r="B99" s="10" t="inlineStr">
        <is>
          <t>revestimento</t>
        </is>
      </c>
      <c r="C99" s="11" t="inlineStr">
        <is>
          <t>Rodape (poliestireno 100 mm, pintado)</t>
        </is>
      </c>
      <c r="D99" s="10" t="inlineStr">
        <is>
          <t>m</t>
        </is>
      </c>
      <c r="E99" s="12" t="n">
        <v>220.9</v>
      </c>
      <c r="F99" s="13" t="n">
        <v>0</v>
      </c>
      <c r="G99" s="14">
        <f>E99*(1+F99)</f>
        <v/>
      </c>
      <c r="H99" s="15" t="n">
        <v>34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PIN-TINTA</t>
        </is>
      </c>
      <c r="B100" s="10" t="inlineStr">
        <is>
          <t>pintura</t>
        </is>
      </c>
      <c r="C100" s="11" t="inlineStr">
        <is>
          <t>Tinta latex (2 demaos, rendimento 10 m2/L)</t>
        </is>
      </c>
      <c r="D100" s="10" t="inlineStr">
        <is>
          <t>L</t>
        </is>
      </c>
      <c r="E100" s="12" t="n">
        <v>163.1</v>
      </c>
      <c r="F100" s="13" t="n">
        <v>0</v>
      </c>
      <c r="G100" s="14">
        <f>E100*(1+F100)</f>
        <v/>
      </c>
      <c r="H100" s="15" t="n">
        <v>42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PIN-FORRO</t>
        </is>
      </c>
      <c r="B101" s="10" t="inlineStr">
        <is>
          <t>pintura</t>
        </is>
      </c>
      <c r="C101" s="11" t="inlineStr">
        <is>
          <t>Pintura de forro (latex PVA fosco)</t>
        </is>
      </c>
      <c r="D101" s="10" t="inlineStr">
        <is>
          <t>m2</t>
        </is>
      </c>
      <c r="E101" s="12" t="n">
        <v>257</v>
      </c>
      <c r="F101" s="13" t="n">
        <v>0</v>
      </c>
      <c r="G101" s="14">
        <f>E101*(1+F101)</f>
        <v/>
      </c>
      <c r="H101" s="15" t="n">
        <v>26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EQP-SPLIT9</t>
        </is>
      </c>
      <c r="B102" s="10" t="inlineStr">
        <is>
          <t>equipamentos</t>
        </is>
      </c>
      <c r="C102" s="11" t="inlineStr">
        <is>
          <t>Split inverter 9.000 BTU/h</t>
        </is>
      </c>
      <c r="D102" s="10" t="inlineStr">
        <is>
          <t>un</t>
        </is>
      </c>
      <c r="E102" s="12" t="n">
        <v>3</v>
      </c>
      <c r="F102" s="13" t="n">
        <v>0</v>
      </c>
      <c r="G102" s="14">
        <f>E102*(1+F102)</f>
        <v/>
      </c>
      <c r="H102" s="15" t="n">
        <v>2100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MAR-ARM</t>
        </is>
      </c>
      <c r="B103" s="10" t="inlineStr">
        <is>
          <t>marcenaria</t>
        </is>
      </c>
      <c r="C103" s="11" t="inlineStr">
        <is>
          <t>Armario de MDF sob medida</t>
        </is>
      </c>
      <c r="D103" s="10" t="inlineStr">
        <is>
          <t>m2</t>
        </is>
      </c>
      <c r="E103" s="12" t="n">
        <v>5.94</v>
      </c>
      <c r="F103" s="13" t="n">
        <v>0</v>
      </c>
      <c r="G103" s="14">
        <f>E103*(1+F103)</f>
        <v/>
      </c>
      <c r="H103" s="15" t="n">
        <v>980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EQP-SPLIT30</t>
        </is>
      </c>
      <c r="B104" s="10" t="inlineStr">
        <is>
          <t>equipamentos</t>
        </is>
      </c>
      <c r="C104" s="11" t="inlineStr">
        <is>
          <t>Split inverter 30.000 BTU/h</t>
        </is>
      </c>
      <c r="D104" s="10" t="inlineStr">
        <is>
          <t>un</t>
        </is>
      </c>
      <c r="E104" s="12" t="n">
        <v>1</v>
      </c>
      <c r="F104" s="13" t="n">
        <v>0</v>
      </c>
      <c r="G104" s="14">
        <f>E104*(1+F104)</f>
        <v/>
      </c>
      <c r="H104" s="15" t="n">
        <v>5400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LUM-DOWNLIGHT18</t>
        </is>
      </c>
      <c r="B105" s="10" t="inlineStr">
        <is>
          <t>eletrica</t>
        </is>
      </c>
      <c r="C105" s="11" t="inlineStr">
        <is>
          <t>Downlight LED embutido 18 W</t>
        </is>
      </c>
      <c r="D105" s="10" t="inlineStr">
        <is>
          <t>un</t>
        </is>
      </c>
      <c r="E105" s="12" t="n">
        <v>39</v>
      </c>
      <c r="F105" s="13" t="n">
        <v>0</v>
      </c>
      <c r="G105" s="14">
        <f>E105*(1+F105)</f>
        <v/>
      </c>
      <c r="H105" s="15" t="n">
        <v>128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REV-REJ</t>
        </is>
      </c>
      <c r="B106" s="10" t="inlineStr">
        <is>
          <t>revestimento</t>
        </is>
      </c>
      <c r="C106" s="11" t="inlineStr">
        <is>
          <t>Rejunte epoxi/acrilico</t>
        </is>
      </c>
      <c r="D106" s="10" t="inlineStr">
        <is>
          <t>m2</t>
        </is>
      </c>
      <c r="E106" s="12" t="n">
        <v>511.1</v>
      </c>
      <c r="F106" s="13" t="n">
        <v>0</v>
      </c>
      <c r="G106" s="14">
        <f>E106*(1+F106)</f>
        <v/>
      </c>
      <c r="H106" s="15" t="n">
        <v>9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LUM-DOWNLIGHT24</t>
        </is>
      </c>
      <c r="B107" s="10" t="inlineStr">
        <is>
          <t>eletrica</t>
        </is>
      </c>
      <c r="C107" s="11" t="inlineStr">
        <is>
          <t>Downlight LED embutido 24 W</t>
        </is>
      </c>
      <c r="D107" s="10" t="inlineStr">
        <is>
          <t>un</t>
        </is>
      </c>
      <c r="E107" s="12" t="n">
        <v>27</v>
      </c>
      <c r="F107" s="13" t="n">
        <v>0</v>
      </c>
      <c r="G107" s="14">
        <f>E107*(1+F107)</f>
        <v/>
      </c>
      <c r="H107" s="15" t="n">
        <v>165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LOU-VASO</t>
        </is>
      </c>
      <c r="B108" s="10" t="inlineStr">
        <is>
          <t>loucas</t>
        </is>
      </c>
      <c r="C108" s="11" t="inlineStr">
        <is>
          <t>Bacia sanitaria com caixa acoplada</t>
        </is>
      </c>
      <c r="D108" s="10" t="inlineStr">
        <is>
          <t>un</t>
        </is>
      </c>
      <c r="E108" s="12" t="n">
        <v>5</v>
      </c>
      <c r="F108" s="13" t="n">
        <v>0</v>
      </c>
      <c r="G108" s="14">
        <f>E108*(1+F108)</f>
        <v/>
      </c>
      <c r="H108" s="15" t="n">
        <v>780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MAR-CAB</t>
        </is>
      </c>
      <c r="B109" s="10" t="inlineStr">
        <is>
          <t>marcenaria</t>
        </is>
      </c>
      <c r="C109" s="11" t="inlineStr">
        <is>
          <t>Cabideiro e gaveteiro de closet</t>
        </is>
      </c>
      <c r="D109" s="10" t="inlineStr">
        <is>
          <t>m</t>
        </is>
      </c>
      <c r="E109" s="12" t="n">
        <v>12</v>
      </c>
      <c r="F109" s="13" t="n">
        <v>0</v>
      </c>
      <c r="G109" s="14">
        <f>E109*(1+F109)</f>
        <v/>
      </c>
      <c r="H109" s="15" t="n">
        <v>320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LUM-LINEAR</t>
        </is>
      </c>
      <c r="B110" s="10" t="inlineStr">
        <is>
          <t>eletrica</t>
        </is>
      </c>
      <c r="C110" s="11" t="inlineStr">
        <is>
          <t>Perfil linear LED 18 W/m com difusor (tarefa)</t>
        </is>
      </c>
      <c r="D110" s="10" t="inlineStr">
        <is>
          <t>m</t>
        </is>
      </c>
      <c r="E110" s="12" t="n">
        <v>17.4</v>
      </c>
      <c r="F110" s="13" t="n">
        <v>0</v>
      </c>
      <c r="G110" s="14">
        <f>E110*(1+F110)</f>
        <v/>
      </c>
      <c r="H110" s="15" t="n">
        <v>210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REV-FORRO-ACUST</t>
        </is>
      </c>
      <c r="B111" s="10" t="inlineStr">
        <is>
          <t>revestimento</t>
        </is>
      </c>
      <c r="C111" s="11" t="inlineStr">
        <is>
          <t>Forro absorvente perfurado (alfa 0,70), acabado de fabrica</t>
        </is>
      </c>
      <c r="D111" s="10" t="inlineStr">
        <is>
          <t>m2</t>
        </is>
      </c>
      <c r="E111" s="12" t="n">
        <v>30.2</v>
      </c>
      <c r="F111" s="13" t="n">
        <v>0</v>
      </c>
      <c r="G111" s="14">
        <f>E111*(1+F111)</f>
        <v/>
      </c>
      <c r="H111" s="15" t="n">
        <v>96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EQP-PISC</t>
        </is>
      </c>
      <c r="B112" s="10" t="inlineStr">
        <is>
          <t>equipamentos</t>
        </is>
      </c>
      <c r="C112" s="11" t="inlineStr">
        <is>
          <t>Conjunto da piscina: bomba, filtro e tratamento</t>
        </is>
      </c>
      <c r="D112" s="10" t="inlineStr">
        <is>
          <t>cj</t>
        </is>
      </c>
      <c r="E112" s="12" t="n">
        <v>1</v>
      </c>
      <c r="F112" s="13" t="n">
        <v>0</v>
      </c>
      <c r="G112" s="14">
        <f>E112*(1+F112)</f>
        <v/>
      </c>
      <c r="H112" s="15" t="n">
        <v>2800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MET-TORN</t>
        </is>
      </c>
      <c r="B113" s="10" t="inlineStr">
        <is>
          <t>loucas</t>
        </is>
      </c>
      <c r="C113" s="11" t="inlineStr">
        <is>
          <t>Torneira de bancada (lavatorio e cuba)</t>
        </is>
      </c>
      <c r="D113" s="10" t="inlineStr">
        <is>
          <t>un</t>
        </is>
      </c>
      <c r="E113" s="12" t="n">
        <v>8</v>
      </c>
      <c r="F113" s="13" t="n">
        <v>0</v>
      </c>
      <c r="G113" s="14">
        <f>E113*(1+F113)</f>
        <v/>
      </c>
      <c r="H113" s="15" t="n">
        <v>340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EQP-PORTAO</t>
        </is>
      </c>
      <c r="B114" s="10" t="inlineStr">
        <is>
          <t>equipamentos</t>
        </is>
      </c>
      <c r="C114" s="11" t="inlineStr">
        <is>
          <t>Automatizador de portao de correr</t>
        </is>
      </c>
      <c r="D114" s="10" t="inlineStr">
        <is>
          <t>un</t>
        </is>
      </c>
      <c r="E114" s="12" t="n">
        <v>1</v>
      </c>
      <c r="F114" s="13" t="n">
        <v>0</v>
      </c>
      <c r="G114" s="14">
        <f>E114*(1+F114)</f>
        <v/>
      </c>
      <c r="H114" s="15" t="n">
        <v>2400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MAR-PRAT</t>
        </is>
      </c>
      <c r="B115" s="10" t="inlineStr">
        <is>
          <t>marcenaria</t>
        </is>
      </c>
      <c r="C115" s="11" t="inlineStr">
        <is>
          <t>Prateleira e nicho</t>
        </is>
      </c>
      <c r="D115" s="10" t="inlineStr">
        <is>
          <t>m</t>
        </is>
      </c>
      <c r="E115" s="12" t="n">
        <v>8.199999999999999</v>
      </c>
      <c r="F115" s="13" t="n">
        <v>0</v>
      </c>
      <c r="G115" s="14">
        <f>E115*(1+F115)</f>
        <v/>
      </c>
      <c r="H115" s="15" t="n">
        <v>260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LOU-LAV</t>
        </is>
      </c>
      <c r="B116" s="10" t="inlineStr">
        <is>
          <t>loucas</t>
        </is>
      </c>
      <c r="C116" s="11" t="inlineStr">
        <is>
          <t>Lavatorio / cuba de banheiro</t>
        </is>
      </c>
      <c r="D116" s="10" t="inlineStr">
        <is>
          <t>un</t>
        </is>
      </c>
      <c r="E116" s="12" t="n">
        <v>5</v>
      </c>
      <c r="F116" s="13" t="n">
        <v>0</v>
      </c>
      <c r="G116" s="14">
        <f>E116*(1+F116)</f>
        <v/>
      </c>
      <c r="H116" s="15" t="n">
        <v>420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LUM-SOBREPOR24</t>
        </is>
      </c>
      <c r="B117" s="10" t="inlineStr">
        <is>
          <t>eletrica</t>
        </is>
      </c>
      <c r="C117" s="11" t="inlineStr">
        <is>
          <t>Plafon LED de sobrepor 24 W</t>
        </is>
      </c>
      <c r="D117" s="10" t="inlineStr">
        <is>
          <t>un</t>
        </is>
      </c>
      <c r="E117" s="12" t="n">
        <v>12</v>
      </c>
      <c r="F117" s="13" t="n">
        <v>0</v>
      </c>
      <c r="G117" s="14">
        <f>E117*(1+F117)</f>
        <v/>
      </c>
      <c r="H117" s="15" t="n">
        <v>175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LOU-CUBA</t>
        </is>
      </c>
      <c r="B118" s="10" t="inlineStr">
        <is>
          <t>loucas</t>
        </is>
      </c>
      <c r="C118" s="11" t="inlineStr">
        <is>
          <t>Cuba de cozinha / gourmet / lavanderia em inox</t>
        </is>
      </c>
      <c r="D118" s="10" t="inlineStr">
        <is>
          <t>un</t>
        </is>
      </c>
      <c r="E118" s="12" t="n">
        <v>3</v>
      </c>
      <c r="F118" s="13" t="n">
        <v>0</v>
      </c>
      <c r="G118" s="14">
        <f>E118*(1+F118)</f>
        <v/>
      </c>
      <c r="H118" s="15" t="n">
        <v>690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MET-ACESS</t>
        </is>
      </c>
      <c r="B119" s="10" t="inlineStr">
        <is>
          <t>loucas</t>
        </is>
      </c>
      <c r="C119" s="11" t="inlineStr">
        <is>
          <t>Acessorios (papeleira, cabide, saboneteira, toalheiro)</t>
        </is>
      </c>
      <c r="D119" s="10" t="inlineStr">
        <is>
          <t>un</t>
        </is>
      </c>
      <c r="E119" s="12" t="n">
        <v>24</v>
      </c>
      <c r="F119" s="13" t="n">
        <v>0</v>
      </c>
      <c r="G119" s="14">
        <f>E119*(1+F119)</f>
        <v/>
      </c>
      <c r="H119" s="15" t="n">
        <v>85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ELE-TUG</t>
        </is>
      </c>
      <c r="B120" s="10" t="inlineStr">
        <is>
          <t>eletrica</t>
        </is>
      </c>
      <c r="C120" s="11" t="inlineStr">
        <is>
          <t>Tomada 2P+T 10 A com placa</t>
        </is>
      </c>
      <c r="D120" s="10" t="inlineStr">
        <is>
          <t>un</t>
        </is>
      </c>
      <c r="E120" s="12" t="n">
        <v>71</v>
      </c>
      <c r="F120" s="13" t="n">
        <v>0</v>
      </c>
      <c r="G120" s="14">
        <f>E120*(1+F120)</f>
        <v/>
      </c>
      <c r="H120" s="15" t="n">
        <v>28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PIN-SELADOR</t>
        </is>
      </c>
      <c r="B121" s="10" t="inlineStr">
        <is>
          <t>pintura</t>
        </is>
      </c>
      <c r="C121" s="11" t="inlineStr">
        <is>
          <t>Selador acrilico</t>
        </is>
      </c>
      <c r="D121" s="10" t="inlineStr">
        <is>
          <t>L</t>
        </is>
      </c>
      <c r="E121" s="12" t="n">
        <v>68</v>
      </c>
      <c r="F121" s="13" t="n">
        <v>0</v>
      </c>
      <c r="G121" s="14">
        <f>E121*(1+F121)</f>
        <v/>
      </c>
      <c r="H121" s="15" t="n">
        <v>28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EQP-EXAUST</t>
        </is>
      </c>
      <c r="B122" s="10" t="inlineStr">
        <is>
          <t>equipamentos</t>
        </is>
      </c>
      <c r="C122" s="11" t="inlineStr">
        <is>
          <t>Exaustor / coifa</t>
        </is>
      </c>
      <c r="D122" s="10" t="inlineStr">
        <is>
          <t>un</t>
        </is>
      </c>
      <c r="E122" s="12" t="n">
        <v>7</v>
      </c>
      <c r="F122" s="13" t="n">
        <v>0</v>
      </c>
      <c r="G122" s="14">
        <f>E122*(1+F122)</f>
        <v/>
      </c>
      <c r="H122" s="15" t="n">
        <v>260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LUM-DOWNLIGHT12</t>
        </is>
      </c>
      <c r="B123" s="10" t="inlineStr">
        <is>
          <t>eletrica</t>
        </is>
      </c>
      <c r="C123" s="11" t="inlineStr">
        <is>
          <t>Downlight LED embutido 12 W</t>
        </is>
      </c>
      <c r="D123" s="10" t="inlineStr">
        <is>
          <t>un</t>
        </is>
      </c>
      <c r="E123" s="12" t="n">
        <v>14</v>
      </c>
      <c r="F123" s="13" t="n">
        <v>0</v>
      </c>
      <c r="G123" s="14">
        <f>E123*(1+F123)</f>
        <v/>
      </c>
      <c r="H123" s="15" t="n">
        <v>95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MET-CHUV</t>
        </is>
      </c>
      <c r="B124" s="10" t="inlineStr">
        <is>
          <t>loucas</t>
        </is>
      </c>
      <c r="C124" s="11" t="inlineStr">
        <is>
          <t>Chuveiro eletrico 220 V</t>
        </is>
      </c>
      <c r="D124" s="10" t="inlineStr">
        <is>
          <t>un</t>
        </is>
      </c>
      <c r="E124" s="12" t="n">
        <v>4</v>
      </c>
      <c r="F124" s="13" t="n">
        <v>0</v>
      </c>
      <c r="G124" s="14">
        <f>E124*(1+F124)</f>
        <v/>
      </c>
      <c r="H124" s="15" t="n">
        <v>320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MET-REG</t>
        </is>
      </c>
      <c r="B125" s="10" t="inlineStr">
        <is>
          <t>loucas</t>
        </is>
      </c>
      <c r="C125" s="11" t="inlineStr">
        <is>
          <t>Registro de gaveta e de pressao</t>
        </is>
      </c>
      <c r="D125" s="10" t="inlineStr">
        <is>
          <t>un</t>
        </is>
      </c>
      <c r="E125" s="12" t="n">
        <v>12</v>
      </c>
      <c r="F125" s="13" t="n">
        <v>0</v>
      </c>
      <c r="G125" s="14">
        <f>E125*(1+F125)</f>
        <v/>
      </c>
      <c r="H125" s="15" t="n">
        <v>95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ELE-DR</t>
        </is>
      </c>
      <c r="B126" s="10" t="inlineStr">
        <is>
          <t>eletrica</t>
        </is>
      </c>
      <c r="C126" s="11" t="inlineStr">
        <is>
          <t>Disjuntor diferencial residual 30 mA</t>
        </is>
      </c>
      <c r="D126" s="10" t="inlineStr">
        <is>
          <t>un</t>
        </is>
      </c>
      <c r="E126" s="12" t="n">
        <v>6</v>
      </c>
      <c r="F126" s="13" t="n">
        <v>0</v>
      </c>
      <c r="G126" s="14">
        <f>E126*(1+F126)</f>
        <v/>
      </c>
      <c r="H126" s="15" t="n">
        <v>180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MET-DUCHA</t>
        </is>
      </c>
      <c r="B127" s="10" t="inlineStr">
        <is>
          <t>loucas</t>
        </is>
      </c>
      <c r="C127" s="11" t="inlineStr">
        <is>
          <t>Ducha higienica com registro</t>
        </is>
      </c>
      <c r="D127" s="10" t="inlineStr">
        <is>
          <t>un</t>
        </is>
      </c>
      <c r="E127" s="12" t="n">
        <v>5</v>
      </c>
      <c r="F127" s="13" t="n">
        <v>0</v>
      </c>
      <c r="G127" s="14">
        <f>E127*(1+F127)</f>
        <v/>
      </c>
      <c r="H127" s="15" t="n">
        <v>210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LUM-ARANDELA</t>
        </is>
      </c>
      <c r="B128" s="10" t="inlineStr">
        <is>
          <t>eletrica</t>
        </is>
      </c>
      <c r="C128" s="11" t="inlineStr">
        <is>
          <t>Arandela LED IP44 de espelho, 8 W</t>
        </is>
      </c>
      <c r="D128" s="10" t="inlineStr">
        <is>
          <t>un</t>
        </is>
      </c>
      <c r="E128" s="12" t="n">
        <v>6</v>
      </c>
      <c r="F128" s="13" t="n">
        <v>0</v>
      </c>
      <c r="G128" s="14">
        <f>E128*(1+F128)</f>
        <v/>
      </c>
      <c r="H128" s="15" t="n">
        <v>160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LUM-PENDENTE40</t>
        </is>
      </c>
      <c r="B129" s="10" t="inlineStr">
        <is>
          <t>eletrica</t>
        </is>
      </c>
      <c r="C129" s="11" t="inlineStr">
        <is>
          <t>Pendente LED de pe-direito duplo, 40 W</t>
        </is>
      </c>
      <c r="D129" s="10" t="inlineStr">
        <is>
          <t>un</t>
        </is>
      </c>
      <c r="E129" s="12" t="n">
        <v>2</v>
      </c>
      <c r="F129" s="13" t="n">
        <v>0</v>
      </c>
      <c r="G129" s="14">
        <f>E129*(1+F129)</f>
        <v/>
      </c>
      <c r="H129" s="15" t="n">
        <v>420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ELE-INT</t>
        </is>
      </c>
      <c r="B130" s="10" t="inlineStr">
        <is>
          <t>eletrica</t>
        </is>
      </c>
      <c r="C130" s="11" t="inlineStr">
        <is>
          <t>Interruptor simples e paralelo com placa</t>
        </is>
      </c>
      <c r="D130" s="10" t="inlineStr">
        <is>
          <t>un</t>
        </is>
      </c>
      <c r="E130" s="12" t="n">
        <v>25</v>
      </c>
      <c r="F130" s="13" t="n">
        <v>0</v>
      </c>
      <c r="G130" s="14">
        <f>E130*(1+F130)</f>
        <v/>
      </c>
      <c r="H130" s="15" t="n">
        <v>32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LOU-ASSENTO</t>
        </is>
      </c>
      <c r="B131" s="10" t="inlineStr">
        <is>
          <t>loucas</t>
        </is>
      </c>
      <c r="C131" s="11" t="inlineStr">
        <is>
          <t>Assento sanitario com amortecedor</t>
        </is>
      </c>
      <c r="D131" s="10" t="inlineStr">
        <is>
          <t>un</t>
        </is>
      </c>
      <c r="E131" s="12" t="n">
        <v>5</v>
      </c>
      <c r="F131" s="13" t="n">
        <v>0</v>
      </c>
      <c r="G131" s="14">
        <f>E131*(1+F131)</f>
        <v/>
      </c>
      <c r="H131" s="15" t="n">
        <v>140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ELE-TUE</t>
        </is>
      </c>
      <c r="B132" s="10" t="inlineStr">
        <is>
          <t>eletrica</t>
        </is>
      </c>
      <c r="C132" s="11" t="inlineStr">
        <is>
          <t>Tomada de uso especifico 20 A com placa</t>
        </is>
      </c>
      <c r="D132" s="10" t="inlineStr">
        <is>
          <t>un</t>
        </is>
      </c>
      <c r="E132" s="12" t="n">
        <v>24</v>
      </c>
      <c r="F132" s="13" t="n">
        <v>0</v>
      </c>
      <c r="G132" s="14">
        <f>E132*(1+F132)</f>
        <v/>
      </c>
      <c r="H132" s="15" t="n">
        <v>28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LUM-BALIZADOR</t>
        </is>
      </c>
      <c r="B133" s="10" t="inlineStr">
        <is>
          <t>eletrica</t>
        </is>
      </c>
      <c r="C133" s="11" t="inlineStr">
        <is>
          <t>Balizador LED de escada, 3 W</t>
        </is>
      </c>
      <c r="D133" s="10" t="inlineStr">
        <is>
          <t>un</t>
        </is>
      </c>
      <c r="E133" s="12" t="n">
        <v>6</v>
      </c>
      <c r="F133" s="13" t="n">
        <v>0</v>
      </c>
      <c r="G133" s="14">
        <f>E133*(1+F133)</f>
        <v/>
      </c>
      <c r="H133" s="15" t="n">
        <v>85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MET-ENGATE</t>
        </is>
      </c>
      <c r="B134" s="10" t="inlineStr">
        <is>
          <t>loucas</t>
        </is>
      </c>
      <c r="C134" s="11" t="inlineStr">
        <is>
          <t>Engate flexivel</t>
        </is>
      </c>
      <c r="D134" s="10" t="inlineStr">
        <is>
          <t>un</t>
        </is>
      </c>
      <c r="E134" s="12" t="n">
        <v>23</v>
      </c>
      <c r="F134" s="13" t="n">
        <v>0</v>
      </c>
      <c r="G134" s="14">
        <f>E134*(1+F134)</f>
        <v/>
      </c>
      <c r="H134" s="15" t="n">
        <v>22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MET-TORN-T</t>
        </is>
      </c>
      <c r="B135" s="10" t="inlineStr">
        <is>
          <t>loucas</t>
        </is>
      </c>
      <c r="C135" s="11" t="inlineStr">
        <is>
          <t>Torneira de tanque e de jardim</t>
        </is>
      </c>
      <c r="D135" s="10" t="inlineStr">
        <is>
          <t>un</t>
        </is>
      </c>
      <c r="E135" s="12" t="n">
        <v>3</v>
      </c>
      <c r="F135" s="13" t="n">
        <v>0</v>
      </c>
      <c r="G135" s="14">
        <f>E135*(1+F135)</f>
        <v/>
      </c>
      <c r="H135" s="15" t="n">
        <v>160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MET-VALV</t>
        </is>
      </c>
      <c r="B136" s="10" t="inlineStr">
        <is>
          <t>loucas</t>
        </is>
      </c>
      <c r="C136" s="11" t="inlineStr">
        <is>
          <t>Valvula de escoamento e de lavatorio</t>
        </is>
      </c>
      <c r="D136" s="10" t="inlineStr">
        <is>
          <t>un</t>
        </is>
      </c>
      <c r="E136" s="12" t="n">
        <v>9</v>
      </c>
      <c r="F136" s="13" t="n">
        <v>0</v>
      </c>
      <c r="G136" s="14">
        <f>E136*(1+F136)</f>
        <v/>
      </c>
      <c r="H136" s="15" t="n">
        <v>45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MET-SIFAO</t>
        </is>
      </c>
      <c r="B137" s="10" t="inlineStr">
        <is>
          <t>loucas</t>
        </is>
      </c>
      <c r="C137" s="11" t="inlineStr">
        <is>
          <t>Sifao flexivel</t>
        </is>
      </c>
      <c r="D137" s="10" t="inlineStr">
        <is>
          <t>un</t>
        </is>
      </c>
      <c r="E137" s="12" t="n">
        <v>9</v>
      </c>
      <c r="F137" s="13" t="n">
        <v>0</v>
      </c>
      <c r="G137" s="14">
        <f>E137*(1+F137)</f>
        <v/>
      </c>
      <c r="H137" s="15" t="n">
        <v>38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LOU-TANQUE</t>
        </is>
      </c>
      <c r="B138" s="10" t="inlineStr">
        <is>
          <t>loucas</t>
        </is>
      </c>
      <c r="C138" s="11" t="inlineStr">
        <is>
          <t>Tanque de lavanderia</t>
        </is>
      </c>
      <c r="D138" s="10" t="inlineStr">
        <is>
          <t>un</t>
        </is>
      </c>
      <c r="E138" s="12" t="n">
        <v>1</v>
      </c>
      <c r="F138" s="13" t="n">
        <v>0</v>
      </c>
      <c r="G138" s="14">
        <f>E138*(1+F138)</f>
        <v/>
      </c>
      <c r="H138" s="15" t="n">
        <v>320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ELE-DPS</t>
        </is>
      </c>
      <c r="B139" s="10" t="inlineStr">
        <is>
          <t>eletrica</t>
        </is>
      </c>
      <c r="C139" s="11" t="inlineStr">
        <is>
          <t>Dispositivo de protecao contra surtos</t>
        </is>
      </c>
      <c r="D139" s="10" t="inlineStr">
        <is>
          <t>un</t>
        </is>
      </c>
      <c r="E139" s="12" t="n">
        <v>2</v>
      </c>
      <c r="F139" s="13" t="n">
        <v>0</v>
      </c>
      <c r="G139" s="14">
        <f>E139*(1+F139)</f>
        <v/>
      </c>
      <c r="H139" s="15" t="n">
        <v>120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22" t="n"/>
      <c r="B140" s="22" t="n"/>
      <c r="C140" s="23" t="inlineStr">
        <is>
          <t>TOTAL GERAL</t>
        </is>
      </c>
      <c r="D140" s="22" t="n"/>
      <c r="E140" s="22" t="n"/>
      <c r="F140" s="22" t="n"/>
      <c r="G140" s="22" t="n"/>
      <c r="H140" s="22" t="n"/>
      <c r="I140" s="24">
        <f>SUM(I4:I139)</f>
        <v/>
      </c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4">
        <f>SUM(T4:T139)</f>
        <v/>
      </c>
      <c r="U140" s="25">
        <f>IF(T140=0,"",T140/I140-1)</f>
        <v/>
      </c>
      <c r="V140" s="22" t="n"/>
    </row>
    <row r="142">
      <c r="C142" s="2" t="inlineStr">
        <is>
          <t>Itens: 136 · linhas cotáveis com especificação completa: 115 · com lacuna a esclarecer com o fornecedor: 74</t>
        </is>
      </c>
    </row>
    <row r="143">
      <c r="C143" s="2" t="inlineStr">
        <is>
          <t>Passe o mouse sobre a DESCRIÇÃO para ver a especificação completa, as normas e a lacuna de cada item.</t>
        </is>
      </c>
    </row>
  </sheetData>
  <autoFilter ref="A3:V139"/>
  <conditionalFormatting sqref="V4:V139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39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39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SUMIF(COTAÇÃO!$B$4:$B$139,$A5,COTAÇÃO!$I$4:$I$139)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SUMIF(COTAÇÃO!$B$4:$B$139,$A5,COTAÇÃO!$T$4:$T$139)</f>
        <v/>
      </c>
      <c r="G5" s="21">
        <f>IF(OR(F5=0,C5=0),"",F5/C5-1)</f>
        <v/>
      </c>
      <c r="H5" s="18">
        <f>COUNTIFS(COTAÇÃO!$B$4:$B$139,$A5,COTAÇÃO!$O$4:$O$139,"&gt;0")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8</v>
      </c>
      <c r="C6" s="27">
        <f>SUMIF(COTAÇÃO!$B$4:$B$139,$A6,COTAÇÃO!$I$4:$I$139)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SUMIF(COTAÇÃO!$B$4:$B$139,$A6,COTAÇÃO!$T$4:$T$139)</f>
        <v/>
      </c>
      <c r="G6" s="21">
        <f>IF(OR(F6=0,C6=0),"",F6/C6-1)</f>
        <v/>
      </c>
      <c r="H6" s="18">
        <f>COUNTIFS(COTAÇÃO!$B$4:$B$139,$A6,COTAÇÃO!$O$4:$O$139,"&gt;0")</f>
        <v/>
      </c>
      <c r="I6" s="21">
        <f>IF(B6=0,0,H6/B6)</f>
        <v/>
      </c>
    </row>
    <row r="7">
      <c r="A7" s="9" t="inlineStr">
        <is>
          <t>fundacao</t>
        </is>
      </c>
      <c r="B7" s="18" t="n">
        <v>11</v>
      </c>
      <c r="C7" s="27">
        <f>SUMIF(COTAÇÃO!$B$4:$B$139,$A7,COTAÇÃO!$I$4:$I$139)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SUMIF(COTAÇÃO!$B$4:$B$139,$A7,COTAÇÃO!$T$4:$T$139)</f>
        <v/>
      </c>
      <c r="G7" s="21">
        <f>IF(OR(F7=0,C7=0),"",F7/C7-1)</f>
        <v/>
      </c>
      <c r="H7" s="18">
        <f>COUNTIFS(COTAÇÃO!$B$4:$B$139,$A7,COTAÇÃO!$O$4:$O$139,"&gt;0")</f>
        <v/>
      </c>
      <c r="I7" s="21">
        <f>IF(B7=0,0,H7/B7)</f>
        <v/>
      </c>
    </row>
    <row r="8">
      <c r="A8" s="9" t="inlineStr">
        <is>
          <t>revestimento</t>
        </is>
      </c>
      <c r="B8" s="18" t="n">
        <v>6</v>
      </c>
      <c r="C8" s="27">
        <f>SUMIF(COTAÇÃO!$B$4:$B$139,$A8,COTAÇÃO!$I$4:$I$139)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SUMIF(COTAÇÃO!$B$4:$B$139,$A8,COTAÇÃO!$T$4:$T$139)</f>
        <v/>
      </c>
      <c r="G8" s="21">
        <f>IF(OR(F8=0,C8=0),"",F8/C8-1)</f>
        <v/>
      </c>
      <c r="H8" s="18">
        <f>COUNTIFS(COTAÇÃO!$B$4:$B$139,$A8,COTAÇÃO!$O$4:$O$139,"&gt;0")</f>
        <v/>
      </c>
      <c r="I8" s="21">
        <f>IF(B8=0,0,H8/B8)</f>
        <v/>
      </c>
    </row>
    <row r="9">
      <c r="A9" s="9" t="inlineStr">
        <is>
          <t>externo</t>
        </is>
      </c>
      <c r="B9" s="18" t="n">
        <v>14</v>
      </c>
      <c r="C9" s="27">
        <f>SUMIF(COTAÇÃO!$B$4:$B$139,$A9,COTAÇÃO!$I$4:$I$139)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SUMIF(COTAÇÃO!$B$4:$B$139,$A9,COTAÇÃO!$T$4:$T$139)</f>
        <v/>
      </c>
      <c r="G9" s="21">
        <f>IF(OR(F9=0,C9=0),"",F9/C9-1)</f>
        <v/>
      </c>
      <c r="H9" s="18">
        <f>COUNTIFS(COTAÇÃO!$B$4:$B$139,$A9,COTAÇÃO!$O$4:$O$139,"&gt;0")</f>
        <v/>
      </c>
      <c r="I9" s="21">
        <f>IF(B9=0,0,H9/B9)</f>
        <v/>
      </c>
    </row>
    <row r="10">
      <c r="A10" s="9" t="inlineStr">
        <is>
          <t>estrutura</t>
        </is>
      </c>
      <c r="B10" s="18" t="n">
        <v>1</v>
      </c>
      <c r="C10" s="27">
        <f>SUMIF(COTAÇÃO!$B$4:$B$139,$A10,COTAÇÃO!$I$4:$I$139)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SUMIF(COTAÇÃO!$B$4:$B$139,$A10,COTAÇÃO!$T$4:$T$139)</f>
        <v/>
      </c>
      <c r="G10" s="21">
        <f>IF(OR(F10=0,C10=0),"",F10/C10-1)</f>
        <v/>
      </c>
      <c r="H10" s="18">
        <f>COUNTIFS(COTAÇÃO!$B$4:$B$139,$A10,COTAÇÃO!$O$4:$O$139,"&gt;0")</f>
        <v/>
      </c>
      <c r="I10" s="21">
        <f>IF(B10=0,0,H10/B10)</f>
        <v/>
      </c>
    </row>
    <row r="11">
      <c r="A11" s="9" t="inlineStr">
        <is>
          <t>fachada</t>
        </is>
      </c>
      <c r="B11" s="18" t="n">
        <v>11</v>
      </c>
      <c r="C11" s="27">
        <f>SUMIF(COTAÇÃO!$B$4:$B$139,$A11,COTAÇÃO!$I$4:$I$139)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SUMIF(COTAÇÃO!$B$4:$B$139,$A11,COTAÇÃO!$T$4:$T$139)</f>
        <v/>
      </c>
      <c r="G11" s="21">
        <f>IF(OR(F11=0,C11=0),"",F11/C11-1)</f>
        <v/>
      </c>
      <c r="H11" s="18">
        <f>COUNTIFS(COTAÇÃO!$B$4:$B$139,$A11,COTAÇÃO!$O$4:$O$139,"&gt;0")</f>
        <v/>
      </c>
      <c r="I11" s="21">
        <f>IF(B11=0,0,H11/B11)</f>
        <v/>
      </c>
    </row>
    <row r="12">
      <c r="A12" s="9" t="inlineStr">
        <is>
          <t>marcenaria</t>
        </is>
      </c>
      <c r="B12" s="18" t="n">
        <v>5</v>
      </c>
      <c r="C12" s="27">
        <f>SUMIF(COTAÇÃO!$B$4:$B$139,$A12,COTAÇÃO!$I$4:$I$139)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SUMIF(COTAÇÃO!$B$4:$B$139,$A12,COTAÇÃO!$T$4:$T$139)</f>
        <v/>
      </c>
      <c r="G12" s="21">
        <f>IF(OR(F12=0,C12=0),"",F12/C12-1)</f>
        <v/>
      </c>
      <c r="H12" s="18">
        <f>COUNTIFS(COTAÇÃO!$B$4:$B$139,$A12,COTAÇÃO!$O$4:$O$139,"&gt;0")</f>
        <v/>
      </c>
      <c r="I12" s="21">
        <f>IF(B12=0,0,H12/B12)</f>
        <v/>
      </c>
    </row>
    <row r="13">
      <c r="A13" s="9" t="inlineStr">
        <is>
          <t>instalacao</t>
        </is>
      </c>
      <c r="B13" s="18" t="n">
        <v>15</v>
      </c>
      <c r="C13" s="27">
        <f>SUMIF(COTAÇÃO!$B$4:$B$139,$A13,COTAÇÃO!$I$4:$I$139)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SUMIF(COTAÇÃO!$B$4:$B$139,$A13,COTAÇÃO!$T$4:$T$139)</f>
        <v/>
      </c>
      <c r="G13" s="21">
        <f>IF(OR(F13=0,C13=0),"",F13/C13-1)</f>
        <v/>
      </c>
      <c r="H13" s="18">
        <f>COUNTIFS(COTAÇÃO!$B$4:$B$139,$A13,COTAÇÃO!$O$4:$O$139,"&gt;0")</f>
        <v/>
      </c>
      <c r="I13" s="21">
        <f>IF(B13=0,0,H13/B13)</f>
        <v/>
      </c>
    </row>
    <row r="14">
      <c r="A14" s="9" t="inlineStr">
        <is>
          <t>servico</t>
        </is>
      </c>
      <c r="B14" s="18" t="n">
        <v>2</v>
      </c>
      <c r="C14" s="27">
        <f>SUMIF(COTAÇÃO!$B$4:$B$139,$A14,COTAÇÃO!$I$4:$I$139)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SUMIF(COTAÇÃO!$B$4:$B$139,$A14,COTAÇÃO!$T$4:$T$139)</f>
        <v/>
      </c>
      <c r="G14" s="21">
        <f>IF(OR(F14=0,C14=0),"",F14/C14-1)</f>
        <v/>
      </c>
      <c r="H14" s="18">
        <f>COUNTIFS(COTAÇÃO!$B$4:$B$139,$A14,COTAÇÃO!$O$4:$O$139,"&gt;0")</f>
        <v/>
      </c>
      <c r="I14" s="21">
        <f>IF(B14=0,0,H14/B14)</f>
        <v/>
      </c>
    </row>
    <row r="15">
      <c r="A15" s="9" t="inlineStr">
        <is>
          <t>equipamentos</t>
        </is>
      </c>
      <c r="B15" s="18" t="n">
        <v>6</v>
      </c>
      <c r="C15" s="27">
        <f>SUMIF(COTAÇÃO!$B$4:$B$139,$A15,COTAÇÃO!$I$4:$I$139)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SUMIF(COTAÇÃO!$B$4:$B$139,$A15,COTAÇÃO!$T$4:$T$139)</f>
        <v/>
      </c>
      <c r="G15" s="21">
        <f>IF(OR(F15=0,C15=0),"",F15/C15-1)</f>
        <v/>
      </c>
      <c r="H15" s="18">
        <f>COUNTIFS(COTAÇÃO!$B$4:$B$139,$A15,COTAÇÃO!$O$4:$O$139,"&gt;0")</f>
        <v/>
      </c>
      <c r="I15" s="21">
        <f>IF(B15=0,0,H15/B15)</f>
        <v/>
      </c>
    </row>
    <row r="16">
      <c r="A16" s="9" t="inlineStr">
        <is>
          <t>pintura</t>
        </is>
      </c>
      <c r="B16" s="18" t="n">
        <v>4</v>
      </c>
      <c r="C16" s="27">
        <f>SUMIF(COTAÇÃO!$B$4:$B$139,$A16,COTAÇÃO!$I$4:$I$139)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SUMIF(COTAÇÃO!$B$4:$B$139,$A16,COTAÇÃO!$T$4:$T$139)</f>
        <v/>
      </c>
      <c r="G16" s="21">
        <f>IF(OR(F16=0,C16=0),"",F16/C16-1)</f>
        <v/>
      </c>
      <c r="H16" s="18">
        <f>COUNTIFS(COTAÇÃO!$B$4:$B$139,$A16,COTAÇÃO!$O$4:$O$139,"&gt;0")</f>
        <v/>
      </c>
      <c r="I16" s="21">
        <f>IF(B16=0,0,H16/B16)</f>
        <v/>
      </c>
    </row>
    <row r="17">
      <c r="A17" s="9" t="inlineStr">
        <is>
          <t>loucas</t>
        </is>
      </c>
      <c r="B17" s="18" t="n">
        <v>15</v>
      </c>
      <c r="C17" s="27">
        <f>SUMIF(COTAÇÃO!$B$4:$B$139,$A17,COTAÇÃO!$I$4:$I$139)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SUMIF(COTAÇÃO!$B$4:$B$139,$A17,COTAÇÃO!$T$4:$T$139)</f>
        <v/>
      </c>
      <c r="G17" s="21">
        <f>IF(OR(F17=0,C17=0),"",F17/C17-1)</f>
        <v/>
      </c>
      <c r="H17" s="18">
        <f>COUNTIFS(COTAÇÃO!$B$4:$B$139,$A17,COTAÇÃO!$O$4:$O$139,"&gt;0")</f>
        <v/>
      </c>
      <c r="I17" s="21">
        <f>IF(B17=0,0,H17/B17)</f>
        <v/>
      </c>
    </row>
    <row r="18">
      <c r="A18" s="9" t="inlineStr">
        <is>
          <t>cobertura</t>
        </is>
      </c>
      <c r="B18" s="18" t="n">
        <v>7</v>
      </c>
      <c r="C18" s="27">
        <f>SUMIF(COTAÇÃO!$B$4:$B$139,$A18,COTAÇÃO!$I$4:$I$139)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SUMIF(COTAÇÃO!$B$4:$B$139,$A18,COTAÇÃO!$T$4:$T$139)</f>
        <v/>
      </c>
      <c r="G18" s="21">
        <f>IF(OR(F18=0,C18=0),"",F18/C18-1)</f>
        <v/>
      </c>
      <c r="H18" s="18">
        <f>COUNTIFS(COTAÇÃO!$B$4:$B$139,$A18,COTAÇÃO!$O$4:$O$139,"&gt;0")</f>
        <v/>
      </c>
      <c r="I18" s="21">
        <f>IF(B18=0,0,H18/B18)</f>
        <v/>
      </c>
    </row>
    <row r="19">
      <c r="A19" s="9" t="inlineStr">
        <is>
          <t>eletrica</t>
        </is>
      </c>
      <c r="B19" s="18" t="n">
        <v>13</v>
      </c>
      <c r="C19" s="27">
        <f>SUMIF(COTAÇÃO!$B$4:$B$139,$A19,COTAÇÃO!$I$4:$I$139)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SUMIF(COTAÇÃO!$B$4:$B$139,$A19,COTAÇÃO!$T$4:$T$139)</f>
        <v/>
      </c>
      <c r="G19" s="21">
        <f>IF(OR(F19=0,C19=0),"",F19/C19-1)</f>
        <v/>
      </c>
      <c r="H19" s="18">
        <f>COUNTIFS(COTAÇÃO!$B$4:$B$139,$A19,COTAÇÃO!$O$4:$O$139,"&gt;0")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SUMIF(COTAÇÃO!$B$4:$B$139,$A20,COTAÇÃO!$I$4:$I$139)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SUMIF(COTAÇÃO!$B$4:$B$139,$A20,COTAÇÃO!$T$4:$T$139)</f>
        <v/>
      </c>
      <c r="G20" s="21">
        <f>IF(OR(F20=0,C20=0),"",F20/C20-1)</f>
        <v/>
      </c>
      <c r="H20" s="18">
        <f>COUNTIFS(COTAÇÃO!$B$4:$B$139,$A20,COTAÇÃO!$O$4:$O$139,"&gt;0")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6202.2</v>
      </c>
      <c r="F4" s="11" t="inlineStr">
        <is>
          <t>perfil formado a frio em barra de 6.000 mm; aco ZAR 230, fy 230 MPa, fu 310 MPa; revestimento Z275; massa BRUTA, ja com a perda de corte (12.8 %)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882.5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237.9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384.6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IMP-MANTA</t>
        </is>
      </c>
      <c r="B9" s="10" t="inlineStr">
        <is>
          <t>vedacao</t>
        </is>
      </c>
      <c r="C9" s="11" t="inlineStr">
        <is>
          <t>Impermeabilizacao de area molhada</t>
        </is>
      </c>
      <c r="D9" s="10" t="inlineStr">
        <is>
          <t>m2</t>
        </is>
      </c>
      <c r="E9" s="14" t="n">
        <v>131</v>
      </c>
      <c r="F9" s="11" t="inlineStr">
        <is>
          <t>chapa dobrada / manta conforme descricao</t>
        </is>
      </c>
      <c r="G9" s="11" t="inlineStr">
        <is>
          <t>NBR 10844, NBR 9575</t>
        </is>
      </c>
      <c r="H9" s="11" t="inlineStr"/>
      <c r="I9" s="18" t="inlineStr">
        <is>
          <t>sim</t>
        </is>
      </c>
    </row>
    <row r="10">
      <c r="A10" s="9" t="inlineStr">
        <is>
          <t>XPS-20</t>
        </is>
      </c>
      <c r="B10" s="10" t="inlineStr">
        <is>
          <t>vedacao</t>
        </is>
      </c>
      <c r="C10" s="11" t="inlineStr">
        <is>
          <t>XPS (ISO strip) 20 mm</t>
        </is>
      </c>
      <c r="D10" s="10" t="inlineStr">
        <is>
          <t>m2</t>
        </is>
      </c>
      <c r="E10" s="14" t="n">
        <v>237.9</v>
      </c>
      <c r="F10" s="11" t="inlineStr">
        <is>
          <t>XPS; chapa 600 x 1250 mm; espessura 20 mm</t>
        </is>
      </c>
      <c r="G10" s="11" t="inlineStr">
        <is>
          <t>NBR 11752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1009.3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163.2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805.3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74.09999999999999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34.1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9802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805.3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FER-TRILHO</t>
        </is>
      </c>
      <c r="B31" s="10" t="inlineStr">
        <is>
          <t>esquadria</t>
        </is>
      </c>
      <c r="C31" s="11" t="inlineStr">
        <is>
          <t>Ferragem: trilho</t>
        </is>
      </c>
      <c r="D31" s="10" t="inlineStr">
        <is>
          <t>m</t>
        </is>
      </c>
      <c r="E31" s="14" t="n">
        <v>45.4</v>
      </c>
      <c r="F31" s="11" t="inlineStr">
        <is>
          <t>ferragem de esquadria conforme quadro de vaos; acabamento e sentido de abertura por vao</t>
        </is>
      </c>
      <c r="G31" s="11" t="inlineStr">
        <is>
          <t>NBR 10821</t>
        </is>
      </c>
      <c r="H31" s="11" t="inlineStr">
        <is>
          <t>linha e fabricante da ferragem: a norma de desempenho e do SISTEMA esquadria + ferragem, e cotar ferragem solta nao garante o ensaio</t>
        </is>
      </c>
      <c r="I31" s="18" t="inlineStr">
        <is>
          <t>sim</t>
        </is>
      </c>
    </row>
    <row r="32">
      <c r="A32" s="9" t="inlineStr">
        <is>
          <t>FER-BATENT</t>
        </is>
      </c>
      <c r="B32" s="10" t="inlineStr">
        <is>
          <t>esquadria</t>
        </is>
      </c>
      <c r="C32" s="11" t="inlineStr">
        <is>
          <t>Ferragem: batente</t>
        </is>
      </c>
      <c r="D32" s="10" t="inlineStr">
        <is>
          <t>un</t>
        </is>
      </c>
      <c r="E32" s="14" t="n">
        <v>14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FER-FECHO</t>
        </is>
      </c>
      <c r="B33" s="10" t="inlineStr">
        <is>
          <t>esquadria</t>
        </is>
      </c>
      <c r="C33" s="11" t="inlineStr">
        <is>
          <t>Ferragem: fecho</t>
        </is>
      </c>
      <c r="D33" s="10" t="inlineStr">
        <is>
          <t>un</t>
        </is>
      </c>
      <c r="E33" s="14" t="n">
        <v>56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FER-ROLDAN</t>
        </is>
      </c>
      <c r="B34" s="10" t="inlineStr">
        <is>
          <t>esquadria</t>
        </is>
      </c>
      <c r="C34" s="11" t="inlineStr">
        <is>
          <t>Ferragem: roldana</t>
        </is>
      </c>
      <c r="D34" s="10" t="inlineStr">
        <is>
          <t>un</t>
        </is>
      </c>
      <c r="E34" s="14" t="n">
        <v>116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FER-FECHAD</t>
        </is>
      </c>
      <c r="B35" s="10" t="inlineStr">
        <is>
          <t>esquadria</t>
        </is>
      </c>
      <c r="C35" s="11" t="inlineStr">
        <is>
          <t>Ferragem: fechadura</t>
        </is>
      </c>
      <c r="D35" s="10" t="inlineStr">
        <is>
          <t>un</t>
        </is>
      </c>
      <c r="E35" s="14" t="n">
        <v>14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FER-DOBRAD</t>
        </is>
      </c>
      <c r="B36" s="10" t="inlineStr">
        <is>
          <t>esquadria</t>
        </is>
      </c>
      <c r="C36" s="11" t="inlineStr">
        <is>
          <t>Ferragem: dobradica</t>
        </is>
      </c>
      <c r="D36" s="10" t="inlineStr">
        <is>
          <t>un</t>
        </is>
      </c>
      <c r="E36" s="14" t="n">
        <v>42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FUN-CONC</t>
        </is>
      </c>
      <c r="B37" s="10" t="inlineStr">
        <is>
          <t>fundacao</t>
        </is>
      </c>
      <c r="C37" s="11" t="inlineStr">
        <is>
          <t>Concreto fck 30 MPa</t>
        </is>
      </c>
      <c r="D37" s="10" t="inlineStr">
        <is>
          <t>m3</t>
        </is>
      </c>
      <c r="E37" s="14" t="n">
        <v>37.74</v>
      </c>
      <c r="F37" s="11" t="inlineStr">
        <is>
          <t>fck 30 MPa, aco CA-50, tela Q196; (H) ate a sondagem: a especificacao muda com o laudo</t>
        </is>
      </c>
      <c r="G37" s="11" t="inlineStr">
        <is>
          <t>NBR 12655, NBR 6118, NBR 6122</t>
        </is>
      </c>
      <c r="H37" s="11" t="inlineStr"/>
      <c r="I37" s="18" t="inlineStr">
        <is>
          <t>sim</t>
        </is>
      </c>
    </row>
    <row r="38">
      <c r="A38" s="9" t="inlineStr">
        <is>
          <t>FUN-ACO</t>
        </is>
      </c>
      <c r="B38" s="10" t="inlineStr">
        <is>
          <t>fundacao</t>
        </is>
      </c>
      <c r="C38" s="11" t="inlineStr">
        <is>
          <t>Aco CA-50 para radier</t>
        </is>
      </c>
      <c r="D38" s="10" t="inlineStr">
        <is>
          <t>kg</t>
        </is>
      </c>
      <c r="E38" s="14" t="n">
        <v>1530.2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FUN-SUBST</t>
        </is>
      </c>
      <c r="B39" s="10" t="inlineStr">
        <is>
          <t>fundacao</t>
        </is>
      </c>
      <c r="C39" s="11" t="inlineStr">
        <is>
          <t>Substituicao: areia grossa com brita graduada</t>
        </is>
      </c>
      <c r="D39" s="10" t="inlineStr">
        <is>
          <t>m3</t>
        </is>
      </c>
      <c r="E39" s="14" t="n">
        <v>109.1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FUN-TELA</t>
        </is>
      </c>
      <c r="B40" s="10" t="inlineStr">
        <is>
          <t>fundacao</t>
        </is>
      </c>
      <c r="C40" s="11" t="inlineStr">
        <is>
          <t>Tela soldada Q196</t>
        </is>
      </c>
      <c r="D40" s="10" t="inlineStr">
        <is>
          <t>m2</t>
        </is>
      </c>
      <c r="E40" s="14" t="n">
        <v>410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FUN-BOTA</t>
        </is>
      </c>
      <c r="B41" s="10" t="inlineStr">
        <is>
          <t>fundacao</t>
        </is>
      </c>
      <c r="C41" s="11" t="inlineStr">
        <is>
          <t>Bota-fora do material escavado (empolado 25 %)</t>
        </is>
      </c>
      <c r="D41" s="10" t="inlineStr">
        <is>
          <t>m3</t>
        </is>
      </c>
      <c r="E41" s="14" t="n">
        <v>163.6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FUN-ESCAV</t>
        </is>
      </c>
      <c r="B42" s="10" t="inlineStr">
        <is>
          <t>fundacao</t>
        </is>
      </c>
      <c r="C42" s="11" t="inlineStr">
        <is>
          <t>Escavacao do aterro superficial reprovado</t>
        </is>
      </c>
      <c r="D42" s="10" t="inlineStr">
        <is>
          <t>m3</t>
        </is>
      </c>
      <c r="E42" s="14" t="n">
        <v>130.9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FUN-LASTRO</t>
        </is>
      </c>
      <c r="B43" s="10" t="inlineStr">
        <is>
          <t>fundacao</t>
        </is>
      </c>
      <c r="C43" s="11" t="inlineStr">
        <is>
          <t>Lastro de brita graduada</t>
        </is>
      </c>
      <c r="D43" s="10" t="inlineStr">
        <is>
          <t>m3</t>
        </is>
      </c>
      <c r="E43" s="14" t="n">
        <v>21.8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FUN-COMP</t>
        </is>
      </c>
      <c r="B44" s="10" t="inlineStr">
        <is>
          <t>fundacao</t>
        </is>
      </c>
      <c r="C44" s="11" t="inlineStr">
        <is>
          <t>Compactacao controlada, camadas de 250 mm</t>
        </is>
      </c>
      <c r="D44" s="10" t="inlineStr">
        <is>
          <t>m3</t>
        </is>
      </c>
      <c r="E44" s="14" t="n">
        <v>109.1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FUN-FORMA</t>
        </is>
      </c>
      <c r="B45" s="10" t="inlineStr">
        <is>
          <t>fundacao</t>
        </is>
      </c>
      <c r="C45" s="11" t="inlineStr">
        <is>
          <t>Forma de borda e engrossamento do perimetro</t>
        </is>
      </c>
      <c r="D45" s="10" t="inlineStr">
        <is>
          <t>m2</t>
        </is>
      </c>
      <c r="E45" s="14" t="n">
        <v>25.4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FUN-ENSAIO</t>
        </is>
      </c>
      <c r="B46" s="10" t="inlineStr">
        <is>
          <t>fundacao</t>
        </is>
      </c>
      <c r="C46" s="11" t="inlineStr">
        <is>
          <t>Ensaio de densidade in situ por camada</t>
        </is>
      </c>
      <c r="D46" s="10" t="inlineStr">
        <is>
          <t>un</t>
        </is>
      </c>
      <c r="E46" s="14" t="n">
        <v>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FUN-LONA</t>
        </is>
      </c>
      <c r="B47" s="10" t="inlineStr">
        <is>
          <t>fundacao</t>
        </is>
      </c>
      <c r="C47" s="11" t="inlineStr">
        <is>
          <t>Lona plastica sob o radier</t>
        </is>
      </c>
      <c r="D47" s="10" t="inlineStr">
        <is>
          <t>m2</t>
        </is>
      </c>
      <c r="E47" s="14" t="n">
        <v>205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MEP-CABO</t>
        </is>
      </c>
      <c r="B48" s="10" t="inlineStr">
        <is>
          <t>instalacao</t>
        </is>
      </c>
      <c r="C48" s="11" t="inlineStr">
        <is>
          <t>Cabo de cobre (fase, neutro e terra)</t>
        </is>
      </c>
      <c r="D48" s="10" t="inlineStr">
        <is>
          <t>m</t>
        </is>
      </c>
      <c r="E48" s="14" t="n">
        <v>2834.4</v>
      </c>
      <c r="F48" s="11" t="inlineStr">
        <is>
          <t>tubo, conexao ou condutor conforme descricao</t>
        </is>
      </c>
      <c r="G48" s="11" t="inlineStr">
        <is>
          <t>NBR 5410, NBR 5626, NBR 8160</t>
        </is>
      </c>
      <c r="H48" s="11" t="inlineStr"/>
      <c r="I48" s="18" t="inlineStr">
        <is>
          <t>sim</t>
        </is>
      </c>
    </row>
    <row r="49">
      <c r="A49" s="9" t="inlineStr">
        <is>
          <t>MEP-ELET</t>
        </is>
      </c>
      <c r="B49" s="10" t="inlineStr">
        <is>
          <t>instalacao</t>
        </is>
      </c>
      <c r="C49" s="11" t="inlineStr">
        <is>
          <t>Eletroduto flexivel</t>
        </is>
      </c>
      <c r="D49" s="10" t="inlineStr">
        <is>
          <t>m</t>
        </is>
      </c>
      <c r="E49" s="14" t="n">
        <v>885.8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MEP-FRIGO</t>
        </is>
      </c>
      <c r="B50" s="10" t="inlineStr">
        <is>
          <t>instalacao</t>
        </is>
      </c>
      <c r="C50" s="11" t="inlineStr">
        <is>
          <t>Linha frigorigena</t>
        </is>
      </c>
      <c r="D50" s="10" t="inlineStr">
        <is>
          <t>m</t>
        </is>
      </c>
      <c r="E50" s="14" t="n">
        <v>56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MEP-AGUA25</t>
        </is>
      </c>
      <c r="B51" s="10" t="inlineStr">
        <is>
          <t>instalacao</t>
        </is>
      </c>
      <c r="C51" s="11" t="inlineStr">
        <is>
          <t>Tubo agua fria DN25</t>
        </is>
      </c>
      <c r="D51" s="10" t="inlineStr">
        <is>
          <t>m</t>
        </is>
      </c>
      <c r="E51" s="14" t="n">
        <v>188.1</v>
      </c>
      <c r="F51" s="11" t="inlineStr">
        <is>
          <t>tubo, conexao ou condutor conforme descricao; DN25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MEP-CONEX</t>
        </is>
      </c>
      <c r="B52" s="10" t="inlineStr">
        <is>
          <t>instalacao</t>
        </is>
      </c>
      <c r="C52" s="11" t="inlineStr">
        <is>
          <t>Conexoes hidraulicas</t>
        </is>
      </c>
      <c r="D52" s="10" t="inlineStr">
        <is>
          <t>un</t>
        </is>
      </c>
      <c r="E52" s="14" t="n">
        <v>190</v>
      </c>
      <c r="F52" s="11" t="inlineStr">
        <is>
          <t>tubo, conexao ou condutor conforme descricao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MEP-ESGO40</t>
        </is>
      </c>
      <c r="B53" s="10" t="inlineStr">
        <is>
          <t>instalacao</t>
        </is>
      </c>
      <c r="C53" s="11" t="inlineStr">
        <is>
          <t>Tubo esgoto DN40</t>
        </is>
      </c>
      <c r="D53" s="10" t="inlineStr">
        <is>
          <t>m</t>
        </is>
      </c>
      <c r="E53" s="14" t="n">
        <v>62.2</v>
      </c>
      <c r="F53" s="11" t="inlineStr">
        <is>
          <t>tubo, conexao ou condutor conforme descricao; DN40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MEP-ISOL</t>
        </is>
      </c>
      <c r="B54" s="10" t="inlineStr">
        <is>
          <t>instalacao</t>
        </is>
      </c>
      <c r="C54" s="11" t="inlineStr">
        <is>
          <t>Isolamento de linha</t>
        </is>
      </c>
      <c r="D54" s="10" t="inlineStr">
        <is>
          <t>m</t>
        </is>
      </c>
      <c r="E54" s="14" t="n">
        <v>112</v>
      </c>
      <c r="F54" s="11" t="inlineStr">
        <is>
          <t>tubo, conexao ou condutor conforme descricao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MEP-DISJ</t>
        </is>
      </c>
      <c r="B55" s="10" t="inlineStr">
        <is>
          <t>instalacao</t>
        </is>
      </c>
      <c r="C55" s="11" t="inlineStr">
        <is>
          <t>Disjuntor</t>
        </is>
      </c>
      <c r="D55" s="10" t="inlineStr">
        <is>
          <t>un</t>
        </is>
      </c>
      <c r="E55" s="14" t="n">
        <v>36</v>
      </c>
      <c r="F55" s="11" t="inlineStr">
        <is>
          <t>tubo, conexao ou condutor conforme descricao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MEP-ESGO50</t>
        </is>
      </c>
      <c r="B56" s="10" t="inlineStr">
        <is>
          <t>instalacao</t>
        </is>
      </c>
      <c r="C56" s="11" t="inlineStr">
        <is>
          <t>Tubo esgoto DN50</t>
        </is>
      </c>
      <c r="D56" s="10" t="inlineStr">
        <is>
          <t>m</t>
        </is>
      </c>
      <c r="E56" s="14" t="n">
        <v>50.6</v>
      </c>
      <c r="F56" s="11" t="inlineStr">
        <is>
          <t>tubo, conexao ou condutor conforme descricao; DN50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MEP-CAIXA</t>
        </is>
      </c>
      <c r="B57" s="10" t="inlineStr">
        <is>
          <t>instalacao</t>
        </is>
      </c>
      <c r="C57" s="11" t="inlineStr">
        <is>
          <t>Caixa de passagem e de tomada</t>
        </is>
      </c>
      <c r="D57" s="10" t="inlineStr">
        <is>
          <t>un</t>
        </is>
      </c>
      <c r="E57" s="14" t="n">
        <v>112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MEP-ESGO75</t>
        </is>
      </c>
      <c r="B58" s="10" t="inlineStr">
        <is>
          <t>instalacao</t>
        </is>
      </c>
      <c r="C58" s="11" t="inlineStr">
        <is>
          <t>Tubo esgoto DN75</t>
        </is>
      </c>
      <c r="D58" s="10" t="inlineStr">
        <is>
          <t>m</t>
        </is>
      </c>
      <c r="E58" s="14" t="n">
        <v>38.3</v>
      </c>
      <c r="F58" s="11" t="inlineStr">
        <is>
          <t>tubo, conexao ou condutor conforme descricao; DN75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MEP-ESGO100</t>
        </is>
      </c>
      <c r="B59" s="10" t="inlineStr">
        <is>
          <t>instalacao</t>
        </is>
      </c>
      <c r="C59" s="11" t="inlineStr">
        <is>
          <t>Tubo esgoto DN100</t>
        </is>
      </c>
      <c r="D59" s="10" t="inlineStr">
        <is>
          <t>m</t>
        </is>
      </c>
      <c r="E59" s="14" t="n">
        <v>34.9</v>
      </c>
      <c r="F59" s="11" t="inlineStr">
        <is>
          <t>tubo, conexao ou condutor conforme descricao; DN100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MEP-AGUA20</t>
        </is>
      </c>
      <c r="B60" s="10" t="inlineStr">
        <is>
          <t>instalacao</t>
        </is>
      </c>
      <c r="C60" s="11" t="inlineStr">
        <is>
          <t>Tubo agua quente DN20</t>
        </is>
      </c>
      <c r="D60" s="10" t="inlineStr">
        <is>
          <t>m</t>
        </is>
      </c>
      <c r="E60" s="14" t="n">
        <v>39.8</v>
      </c>
      <c r="F60" s="11" t="inlineStr">
        <is>
          <t>tubo, conexao ou condutor conforme descricao; DN20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MEP-DRENO</t>
        </is>
      </c>
      <c r="B61" s="10" t="inlineStr">
        <is>
          <t>instalacao</t>
        </is>
      </c>
      <c r="C61" s="11" t="inlineStr">
        <is>
          <t>Dreno de condensado</t>
        </is>
      </c>
      <c r="D61" s="10" t="inlineStr">
        <is>
          <t>m</t>
        </is>
      </c>
      <c r="E61" s="14" t="n">
        <v>44.8</v>
      </c>
      <c r="F61" s="11" t="inlineStr">
        <is>
          <t>tubo, conexao ou condutor conforme descricao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MEP-AGUA32</t>
        </is>
      </c>
      <c r="B62" s="10" t="inlineStr">
        <is>
          <t>instalacao</t>
        </is>
      </c>
      <c r="C62" s="11" t="inlineStr">
        <is>
          <t>Tubo agua fria DN32</t>
        </is>
      </c>
      <c r="D62" s="10" t="inlineStr">
        <is>
          <t>m</t>
        </is>
      </c>
      <c r="E62" s="14" t="n">
        <v>5.6</v>
      </c>
      <c r="F62" s="11" t="inlineStr">
        <is>
          <t>tubo, conexao ou condutor conforme descricao; DN32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PAR-EST</t>
        </is>
      </c>
      <c r="B63" s="10" t="inlineStr">
        <is>
          <t>ligacao</t>
        </is>
      </c>
      <c r="C63" s="11" t="inlineStr">
        <is>
          <t>Parafuso estrutural auto-brocante</t>
        </is>
      </c>
      <c r="D63" s="10" t="inlineStr">
        <is>
          <t>un</t>
        </is>
      </c>
      <c r="E63" s="14" t="n">
        <v>5128</v>
      </c>
      <c r="F63" s="11" t="inlineStr">
        <is>
          <t>tipos em uso: AB 4,8x19 ponta broca, AB 5,5x25 ponta broca</t>
        </is>
      </c>
      <c r="G63" s="11" t="inlineStr">
        <is>
          <t>NBR 14762 item 8.4</t>
        </is>
      </c>
      <c r="H63" s="11" t="inlineStr"/>
      <c r="I63" s="18" t="inlineStr">
        <is>
          <t>sim</t>
        </is>
      </c>
    </row>
    <row r="64">
      <c r="A64" s="9" t="inlineStr">
        <is>
          <t>FAC-MINERAL</t>
        </is>
      </c>
      <c r="B64" s="10" t="inlineStr">
        <is>
          <t>fachada</t>
        </is>
      </c>
      <c r="C64" s="11" t="inlineStr">
        <is>
          <t>Acrescimo: placa cimenticia com revestimento mineral de fabrica, junta seca 6 mm</t>
        </is>
      </c>
      <c r="D64" s="10" t="inlineStr">
        <is>
          <t>m2</t>
        </is>
      </c>
      <c r="E64" s="14" t="n">
        <v>141</v>
      </c>
      <c r="F64" s="11" t="inlineStr">
        <is>
          <t>placa cimenticia 1.200 x 2.400 com revestimento mineral aplicado em fabrica, cor clara, junta seca de 6 mm com perfil EPDM — face externa do volume superior e da platibanda</t>
        </is>
      </c>
      <c r="G64" s="11" t="inlineStr">
        <is>
          <t>NBR 13245, NBR 15498</t>
        </is>
      </c>
      <c r="H64" s="11" t="inlineStr">
        <is>
          <t>fabricante e linha do revestimento mineral: acabamento de fachada e decisao do proprietario</t>
        </is>
      </c>
      <c r="I64" s="18" t="inlineStr">
        <is>
          <t>sim</t>
        </is>
      </c>
    </row>
    <row r="65">
      <c r="A65" s="9" t="inlineStr">
        <is>
          <t>BRI-RIPA</t>
        </is>
      </c>
      <c r="B65" s="10" t="inlineStr">
        <is>
          <t>fachada</t>
        </is>
      </c>
      <c r="C65" s="11" t="inlineStr">
        <is>
          <t>Ripa de fachada: tubular de aluminio 50 x 20 x 1,2 mm</t>
        </is>
      </c>
      <c r="D65" s="10" t="inlineStr">
        <is>
          <t>m</t>
        </is>
      </c>
      <c r="E65" s="14" t="n">
        <v>205.5</v>
      </c>
      <c r="F65" s="11" t="inlineStr"/>
      <c r="G65" s="11" t="inlineStr"/>
      <c r="H65" s="11" t="inlineStr">
        <is>
          <t>o modelo nao sabe descrever este item para um fornecedor</t>
        </is>
      </c>
      <c r="I65" s="18" t="inlineStr">
        <is>
          <t>com lacuna</t>
        </is>
      </c>
    </row>
    <row r="66">
      <c r="A66" s="9" t="inlineStr">
        <is>
          <t>FAC-BASE</t>
        </is>
      </c>
      <c r="B66" s="10" t="inlineStr">
        <is>
          <t>fachada</t>
        </is>
      </c>
      <c r="C66" s="11" t="inlineStr">
        <is>
          <t>Basecoat de regularizacao sobre placa cimenticia</t>
        </is>
      </c>
      <c r="D66" s="10" t="inlineStr">
        <is>
          <t>m2</t>
        </is>
      </c>
      <c r="E66" s="14" t="n">
        <v>168.2</v>
      </c>
      <c r="F66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6" s="11" t="inlineStr">
        <is>
          <t>NBR 13245, NBR 15498</t>
        </is>
      </c>
      <c r="H66" s="11" t="inlineStr"/>
      <c r="I66" s="18" t="inlineStr">
        <is>
          <t>sim</t>
        </is>
      </c>
    </row>
    <row r="67">
      <c r="A67" s="9" t="inlineStr">
        <is>
          <t>FAC-MAO</t>
        </is>
      </c>
      <c r="B67" s="10" t="inlineStr">
        <is>
          <t>fachada</t>
        </is>
      </c>
      <c r="C67" s="11" t="inlineStr">
        <is>
          <t>Mao de obra de fachada (basecoat, tela, junta e pintura)</t>
        </is>
      </c>
      <c r="D67" s="10" t="inlineStr">
        <is>
          <t>m2</t>
        </is>
      </c>
      <c r="E67" s="14" t="n">
        <v>168.2</v>
      </c>
      <c r="F67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7" s="11" t="inlineStr">
        <is>
          <t>NBR 13245, NBR 15498</t>
        </is>
      </c>
      <c r="H67" s="11" t="inlineStr"/>
      <c r="I67" s="18" t="inlineStr">
        <is>
          <t>sim</t>
        </is>
      </c>
    </row>
    <row r="68">
      <c r="A68" s="9" t="inlineStr">
        <is>
          <t>BRI-MEC</t>
        </is>
      </c>
      <c r="B68" s="10" t="inlineStr">
        <is>
          <t>fachada</t>
        </is>
      </c>
      <c r="C68" s="11" t="inlineStr">
        <is>
          <t>Mecanismo de brise movel: guia, roldana e trava</t>
        </is>
      </c>
      <c r="D68" s="10" t="inlineStr">
        <is>
          <t>cj</t>
        </is>
      </c>
      <c r="E68" s="14" t="n">
        <v>2</v>
      </c>
      <c r="F68" s="11" t="inlineStr"/>
      <c r="G68" s="11" t="inlineStr"/>
      <c r="H68" s="11" t="inlineStr">
        <is>
          <t>o modelo nao sabe descrever este item para um fornecedor</t>
        </is>
      </c>
      <c r="I68" s="18" t="inlineStr">
        <is>
          <t>com lacuna</t>
        </is>
      </c>
    </row>
    <row r="69">
      <c r="A69" s="9" t="inlineStr">
        <is>
          <t>FAC-JUNTA-SECA</t>
        </is>
      </c>
      <c r="B69" s="10" t="inlineStr">
        <is>
          <t>fachada</t>
        </is>
      </c>
      <c r="C69" s="11" t="inlineStr">
        <is>
          <t>Junta seca: perfil EPDM e fundo de junta</t>
        </is>
      </c>
      <c r="D69" s="10" t="inlineStr">
        <is>
          <t>m</t>
        </is>
      </c>
      <c r="E69" s="14" t="n">
        <v>176.3</v>
      </c>
      <c r="F69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9" s="11" t="inlineStr">
        <is>
          <t>NBR 13245, NBR 15498</t>
        </is>
      </c>
      <c r="H69" s="11" t="inlineStr"/>
      <c r="I69" s="18" t="inlineStr">
        <is>
          <t>sim</t>
        </is>
      </c>
    </row>
    <row r="70">
      <c r="A70" s="9" t="inlineStr">
        <is>
          <t>FAC-TINTA</t>
        </is>
      </c>
      <c r="B70" s="10" t="inlineStr">
        <is>
          <t>fachada</t>
        </is>
      </c>
      <c r="C70" s="11" t="inlineStr">
        <is>
          <t>Tinta acrilica elastomerica lisa com biocida, 2 demaos</t>
        </is>
      </c>
      <c r="D70" s="10" t="inlineStr">
        <is>
          <t>L</t>
        </is>
      </c>
      <c r="E70" s="14" t="n">
        <v>48.1</v>
      </c>
      <c r="F70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0" s="11" t="inlineStr">
        <is>
          <t>NBR 13245, NBR 15498</t>
        </is>
      </c>
      <c r="H70" s="11" t="inlineStr"/>
      <c r="I70" s="18" t="inlineStr">
        <is>
          <t>sim</t>
        </is>
      </c>
    </row>
    <row r="71">
      <c r="A71" s="9" t="inlineStr">
        <is>
          <t>FAC-JUNTA</t>
        </is>
      </c>
      <c r="B71" s="10" t="inlineStr">
        <is>
          <t>fachada</t>
        </is>
      </c>
      <c r="C71" s="11" t="inlineStr">
        <is>
          <t>Tratamento de junta externa: fundo de junta e selante PU</t>
        </is>
      </c>
      <c r="D71" s="10" t="inlineStr">
        <is>
          <t>m</t>
        </is>
      </c>
      <c r="E71" s="14" t="n">
        <v>210.3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FAC-TELA</t>
        </is>
      </c>
      <c r="B72" s="10" t="inlineStr">
        <is>
          <t>fachada</t>
        </is>
      </c>
      <c r="C72" s="11" t="inlineStr">
        <is>
          <t>Tela de fibra de vidro alcali-resistente, embutida no basecoat</t>
        </is>
      </c>
      <c r="D72" s="10" t="inlineStr">
        <is>
          <t>m2</t>
        </is>
      </c>
      <c r="E72" s="14" t="n">
        <v>185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BRI-TRAV</t>
        </is>
      </c>
      <c r="B73" s="10" t="inlineStr">
        <is>
          <t>fachada</t>
        </is>
      </c>
      <c r="C73" s="11" t="inlineStr">
        <is>
          <t>Travessa de brise: U 50x25x1,2 aluminio</t>
        </is>
      </c>
      <c r="D73" s="10" t="inlineStr">
        <is>
          <t>m</t>
        </is>
      </c>
      <c r="E73" s="14" t="n">
        <v>33.6</v>
      </c>
      <c r="F73" s="11" t="inlineStr"/>
      <c r="G73" s="11" t="inlineStr"/>
      <c r="H73" s="11" t="inlineStr">
        <is>
          <t>o modelo nao sabe descrever este item para um fornecedor</t>
        </is>
      </c>
      <c r="I73" s="18" t="inlineStr">
        <is>
          <t>com lacuna</t>
        </is>
      </c>
    </row>
    <row r="74">
      <c r="A74" s="9" t="inlineStr">
        <is>
          <t>BRI-FIX</t>
        </is>
      </c>
      <c r="B74" s="10" t="inlineStr">
        <is>
          <t>fachada</t>
        </is>
      </c>
      <c r="C74" s="11" t="inlineStr">
        <is>
          <t>Fixacao de travessa no montante</t>
        </is>
      </c>
      <c r="D74" s="10" t="inlineStr">
        <is>
          <t>un</t>
        </is>
      </c>
      <c r="E74" s="14" t="n">
        <v>66</v>
      </c>
      <c r="F74" s="11" t="inlineStr"/>
      <c r="G74" s="11" t="inlineStr"/>
      <c r="H74" s="11" t="inlineStr">
        <is>
          <t>o modelo nao sabe descrever este item para um fornecedor</t>
        </is>
      </c>
      <c r="I74" s="18" t="inlineStr">
        <is>
          <t>com lacuna</t>
        </is>
      </c>
    </row>
    <row r="75">
      <c r="A75" s="9" t="inlineStr">
        <is>
          <t>EXT-BLOCO</t>
        </is>
      </c>
      <c r="B75" s="10" t="inlineStr">
        <is>
          <t>externo</t>
        </is>
      </c>
      <c r="C75" s="11" t="inlineStr">
        <is>
          <t>Muro: bloco de concreto estrutural 14 x 19 x 39 ap</t>
        </is>
      </c>
      <c r="D75" s="10" t="inlineStr">
        <is>
          <t>un</t>
        </is>
      </c>
      <c r="E75" s="14" t="n">
        <v>3118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EXT-PISO2</t>
        </is>
      </c>
      <c r="B76" s="10" t="inlineStr">
        <is>
          <t>externo</t>
        </is>
      </c>
      <c r="C76" s="11" t="inlineStr">
        <is>
          <t>lounge e circulacao do deck: WPC coextrudado claro</t>
        </is>
      </c>
      <c r="D76" s="10" t="inlineStr">
        <is>
          <t>m2</t>
        </is>
      </c>
      <c r="E76" s="14" t="n">
        <v>33.12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EXT-PISC-EST</t>
        </is>
      </c>
      <c r="B77" s="10" t="inlineStr">
        <is>
          <t>externo</t>
        </is>
      </c>
      <c r="C77" s="11" t="inlineStr">
        <is>
          <t>Piscina: casca de concreto armado 150 mm</t>
        </is>
      </c>
      <c r="D77" s="10" t="inlineStr">
        <is>
          <t>m3</t>
        </is>
      </c>
      <c r="E77" s="14" t="n">
        <v>4.57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EXT-PISO4</t>
        </is>
      </c>
      <c r="B78" s="10" t="inlineStr">
        <is>
          <t>externo</t>
        </is>
      </c>
      <c r="C78" s="11" t="inlineStr">
        <is>
          <t>patio e deck descoberto: porcelanato externo claro R11</t>
        </is>
      </c>
      <c r="D78" s="10" t="inlineStr">
        <is>
          <t>m2</t>
        </is>
      </c>
      <c r="E78" s="14" t="n">
        <v>43.2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EXT-PISC-REV</t>
        </is>
      </c>
      <c r="B79" s="10" t="inlineStr">
        <is>
          <t>externo</t>
        </is>
      </c>
      <c r="C79" s="11" t="inlineStr">
        <is>
          <t>Piscina: revestimento de fundo e paredes</t>
        </is>
      </c>
      <c r="D79" s="10" t="inlineStr">
        <is>
          <t>m2</t>
        </is>
      </c>
      <c r="E79" s="14" t="n">
        <v>30.43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EXT-VASO</t>
        </is>
      </c>
      <c r="B80" s="10" t="inlineStr">
        <is>
          <t>externo</t>
        </is>
      </c>
      <c r="C80" s="11" t="inlineStr">
        <is>
          <t>Vaso e planta em vaso</t>
        </is>
      </c>
      <c r="D80" s="10" t="inlineStr">
        <is>
          <t>un</t>
        </is>
      </c>
      <c r="E80" s="14" t="n">
        <v>24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EXT-GRAMA</t>
        </is>
      </c>
      <c r="B81" s="10" t="inlineStr">
        <is>
          <t>externo</t>
        </is>
      </c>
      <c r="C81" s="11" t="inlineStr">
        <is>
          <t>Grama e canteiro</t>
        </is>
      </c>
      <c r="D81" s="10" t="inlineStr">
        <is>
          <t>m2</t>
        </is>
      </c>
      <c r="E81" s="14" t="n">
        <v>137.16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EXT-HIDROF</t>
        </is>
      </c>
      <c r="B82" s="10" t="inlineStr">
        <is>
          <t>externo</t>
        </is>
      </c>
      <c r="C82" s="11" t="inlineStr">
        <is>
          <t>Hidrofugante incolor no muro aparente</t>
        </is>
      </c>
      <c r="D82" s="10" t="inlineStr">
        <is>
          <t>m2</t>
        </is>
      </c>
      <c r="E82" s="14" t="n">
        <v>249.5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EXT-ARV</t>
        </is>
      </c>
      <c r="B83" s="10" t="inlineStr">
        <is>
          <t>externo</t>
        </is>
      </c>
      <c r="C83" s="11" t="inlineStr">
        <is>
          <t>Arvore de porte</t>
        </is>
      </c>
      <c r="D83" s="10" t="inlineStr">
        <is>
          <t>un</t>
        </is>
      </c>
      <c r="E83" s="14" t="n">
        <v>5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EXT-PISO1</t>
        </is>
      </c>
      <c r="B84" s="10" t="inlineStr">
        <is>
          <t>externo</t>
        </is>
      </c>
      <c r="C84" s="11" t="inlineStr">
        <is>
          <t>faixa seca da piscina: porcelanato externo claro R11</t>
        </is>
      </c>
      <c r="D84" s="10" t="inlineStr">
        <is>
          <t>m2</t>
        </is>
      </c>
      <c r="E84" s="14" t="n">
        <v>24.3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EXT-BORDA</t>
        </is>
      </c>
      <c r="B85" s="10" t="inlineStr">
        <is>
          <t>externo</t>
        </is>
      </c>
      <c r="C85" s="11" t="inlineStr">
        <is>
          <t>Borda de piscina</t>
        </is>
      </c>
      <c r="D85" s="10" t="inlineStr">
        <is>
          <t>m</t>
        </is>
      </c>
      <c r="E85" s="14" t="n">
        <v>17.4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EXT-PISO3</t>
        </is>
      </c>
      <c r="B86" s="10" t="inlineStr">
        <is>
          <t>externo</t>
        </is>
      </c>
      <c r="C86" s="11" t="inlineStr">
        <is>
          <t>passeio e acesso: piso drenante intertravado claro</t>
        </is>
      </c>
      <c r="D86" s="10" t="inlineStr">
        <is>
          <t>m2</t>
        </is>
      </c>
      <c r="E86" s="14" t="n">
        <v>30.96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EXT-PISO5</t>
        </is>
      </c>
      <c r="B87" s="10" t="inlineStr">
        <is>
          <t>externo</t>
        </is>
      </c>
      <c r="C87" s="11" t="inlineStr">
        <is>
          <t>varanda do pavimento superior: porcelanato externo claro R11</t>
        </is>
      </c>
      <c r="D87" s="10" t="inlineStr">
        <is>
          <t>m2</t>
        </is>
      </c>
      <c r="E87" s="14" t="n">
        <v>14.04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EXT-GRAUTE</t>
        </is>
      </c>
      <c r="B88" s="10" t="inlineStr">
        <is>
          <t>externo</t>
        </is>
      </c>
      <c r="C88" s="11" t="inlineStr">
        <is>
          <t>Graute de cinta e pilarete do muro</t>
        </is>
      </c>
      <c r="D88" s="10" t="inlineStr">
        <is>
          <t>m3</t>
        </is>
      </c>
      <c r="E88" s="14" t="n">
        <v>2.99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MO-MON</t>
        </is>
      </c>
      <c r="B89" s="10" t="inlineStr">
        <is>
          <t>servico</t>
        </is>
      </c>
      <c r="C89" s="11" t="inlineStr">
        <is>
          <t>Mao de obra de montagem</t>
        </is>
      </c>
      <c r="D89" s="10" t="inlineStr">
        <is>
          <t>h</t>
        </is>
      </c>
      <c r="E89" s="14" t="n">
        <v>765.7</v>
      </c>
      <c r="F89" s="11" t="inlineStr">
        <is>
          <t>hora de equipe, com encargos e EPI</t>
        </is>
      </c>
      <c r="G89" s="11" t="inlineStr"/>
      <c r="H89" s="11" t="inlineStr">
        <is>
          <t>convencao coletiva vigente e composicao de encargos</t>
        </is>
      </c>
      <c r="I89" s="18" t="inlineStr">
        <is>
          <t>sim</t>
        </is>
      </c>
    </row>
    <row r="90">
      <c r="A90" s="9" t="inlineStr">
        <is>
          <t>MO-FAB</t>
        </is>
      </c>
      <c r="B90" s="10" t="inlineStr">
        <is>
          <t>servico</t>
        </is>
      </c>
      <c r="C90" s="11" t="inlineStr">
        <is>
          <t>Mao de obra de fabrica</t>
        </is>
      </c>
      <c r="D90" s="10" t="inlineStr">
        <is>
          <t>h</t>
        </is>
      </c>
      <c r="E90" s="14" t="n">
        <v>46.4</v>
      </c>
      <c r="F90" s="11" t="inlineStr">
        <is>
          <t>hora de equipe, com encargos e EPI</t>
        </is>
      </c>
      <c r="G90" s="11" t="inlineStr"/>
      <c r="H90" s="11" t="inlineStr">
        <is>
          <t>convencao coletiva vigente e composicao de encargos</t>
        </is>
      </c>
      <c r="I90" s="18" t="inlineStr">
        <is>
          <t>sim</t>
        </is>
      </c>
    </row>
    <row r="91">
      <c r="A91" s="9" t="inlineStr">
        <is>
          <t>REV-PISO</t>
        </is>
      </c>
      <c r="B91" s="10" t="inlineStr">
        <is>
          <t>revestimento</t>
        </is>
      </c>
      <c r="C91" s="11" t="inlineStr">
        <is>
          <t>Piso interno (porcelanato retificado)</t>
        </is>
      </c>
      <c r="D91" s="10" t="inlineStr">
        <is>
          <t>m2</t>
        </is>
      </c>
      <c r="E91" s="14" t="n">
        <v>355.6</v>
      </c>
      <c r="F91" s="11" t="inlineStr">
        <is>
          <t>revestimento ceramico conforme quadro de acabamentos por ambiente; area ja com 10 % de perda de corte e quebra</t>
        </is>
      </c>
      <c r="G91" s="11" t="inlineStr">
        <is>
          <t>NBR 13818, NBR 15463</t>
        </is>
      </c>
      <c r="H91" s="11" t="inlineStr">
        <is>
          <t>linha, formato e PEI: o modelo define o TIPO por ambiente, a linha e escolha de acabamento</t>
        </is>
      </c>
      <c r="I91" s="18" t="inlineStr">
        <is>
          <t>sim</t>
        </is>
      </c>
    </row>
    <row r="92">
      <c r="A92" s="9" t="inlineStr">
        <is>
          <t>MAR-GAB</t>
        </is>
      </c>
      <c r="B92" s="10" t="inlineStr">
        <is>
          <t>marcenaria</t>
        </is>
      </c>
      <c r="C92" s="11" t="inlineStr">
        <is>
          <t>Gabinete sob bancada, sob medida</t>
        </is>
      </c>
      <c r="D92" s="10" t="inlineStr">
        <is>
          <t>m</t>
        </is>
      </c>
      <c r="E92" s="14" t="n">
        <v>12</v>
      </c>
      <c r="F92" s="11" t="inlineStr">
        <is>
          <t>marcenaria sob medida conforme planta de layout; MDF 18 mm com acabamento em laminado ou pintura PU; ferragem com amortecedor</t>
        </is>
      </c>
      <c r="G92" s="11" t="inlineStr"/>
      <c r="H92" s="11" t="inlineStr">
        <is>
          <t>desenho executivo de marcenaria: a planta da a extensao e a profundidade, nao o interior do movel</t>
        </is>
      </c>
      <c r="I92" s="18" t="inlineStr">
        <is>
          <t>sim</t>
        </is>
      </c>
    </row>
    <row r="93">
      <c r="A93" s="9" t="inlineStr">
        <is>
          <t>REV-PAREDE</t>
        </is>
      </c>
      <c r="B93" s="10" t="inlineStr">
        <is>
          <t>revestimento</t>
        </is>
      </c>
      <c r="C93" s="11" t="inlineStr">
        <is>
          <t>Revestimento ceramico de parede em area molhada</t>
        </is>
      </c>
      <c r="D93" s="10" t="inlineStr">
        <is>
          <t>m2</t>
        </is>
      </c>
      <c r="E93" s="14" t="n">
        <v>155.5</v>
      </c>
      <c r="F93" s="11" t="inlineStr">
        <is>
          <t>revestimento ceramico conforme quadro de acabamentos por ambiente; area ja com 10 % de perda de corte e quebra</t>
        </is>
      </c>
      <c r="G93" s="11" t="inlineStr">
        <is>
          <t>NBR 13818, NBR 15463</t>
        </is>
      </c>
      <c r="H93" s="11" t="inlineStr">
        <is>
          <t>linha, formato e PEI: o modelo define o TIPO por ambiente, a linha e escolha de acabamento</t>
        </is>
      </c>
      <c r="I93" s="18" t="inlineStr">
        <is>
          <t>sim</t>
        </is>
      </c>
    </row>
    <row r="94">
      <c r="A94" s="9" t="inlineStr">
        <is>
          <t>PIN-PAREDE</t>
        </is>
      </c>
      <c r="B94" s="10" t="inlineStr">
        <is>
          <t>pintura</t>
        </is>
      </c>
      <c r="C94" s="11" t="inlineStr">
        <is>
          <t>Pintura de parede interna (latex acrilico, 2 demaos)</t>
        </is>
      </c>
      <c r="D94" s="10" t="inlineStr">
        <is>
          <t>m2</t>
        </is>
      </c>
      <c r="E94" s="14" t="n">
        <v>558.7</v>
      </c>
      <c r="F94" s="11" t="inlineStr">
        <is>
          <t>tinta e mao de obra conforme especificacao de acabamento; 2 demaos sobre selador; rendimento declarado na quantidade</t>
        </is>
      </c>
      <c r="G94" s="11" t="inlineStr">
        <is>
          <t>NBR 11702, NBR 13245</t>
        </is>
      </c>
      <c r="H94" s="11" t="inlineStr"/>
      <c r="I94" s="18" t="inlineStr">
        <is>
          <t>sim</t>
        </is>
      </c>
    </row>
    <row r="95">
      <c r="A95" s="9" t="inlineStr">
        <is>
          <t>EQP-SPLIT18</t>
        </is>
      </c>
      <c r="B95" s="10" t="inlineStr">
        <is>
          <t>equipamentos</t>
        </is>
      </c>
      <c r="C95" s="11" t="inlineStr">
        <is>
          <t>Split inverter 18.000 BTU/h</t>
        </is>
      </c>
      <c r="D95" s="10" t="inlineStr">
        <is>
          <t>un</t>
        </is>
      </c>
      <c r="E95" s="14" t="n">
        <v>4</v>
      </c>
      <c r="F95" s="11" t="inlineStr">
        <is>
          <t>equipamento novo, com garantia de fabrica e instalacao por credenciado; inverter, ciclo frio, R-32 ou R-410A, classe A</t>
        </is>
      </c>
      <c r="G95" s="11" t="inlineStr">
        <is>
          <t>NBR 16401, Portaria INMETRO de eficiencia</t>
        </is>
      </c>
      <c r="H95" s="11" t="inlineStr">
        <is>
          <t>marca e modelo: a capacidade esta dimensionada, a escolha do equipamento e do proprietario</t>
        </is>
      </c>
      <c r="I95" s="18" t="inlineStr">
        <is>
          <t>sim</t>
        </is>
      </c>
    </row>
    <row r="96">
      <c r="A96" s="9" t="inlineStr">
        <is>
          <t>LOU-BOX</t>
        </is>
      </c>
      <c r="B96" s="10" t="inlineStr">
        <is>
          <t>loucas</t>
        </is>
      </c>
      <c r="C96" s="11" t="inlineStr">
        <is>
          <t>Box de vidro temperado 8 mm, 1.900 mm de altura</t>
        </is>
      </c>
      <c r="D96" s="10" t="inlineStr">
        <is>
          <t>m2</t>
        </is>
      </c>
      <c r="E96" s="14" t="n">
        <v>16.1</v>
      </c>
      <c r="F96" s="11" t="inlineStr">
        <is>
          <t>louca / metal sanitario de linha comercial, cor branca para louca e acabamento cromado para metal; quantidade contada das pecas LOCADAS em planta, nao estimada por comodo</t>
        </is>
      </c>
      <c r="G96" s="11" t="inlineStr">
        <is>
          <t>NBR 15097, NBR 15705</t>
        </is>
      </c>
      <c r="H96" s="11" t="inlineStr">
        <is>
          <t>linha e fabricante: louca e metal sao decisao de acabamento do proprietario, e a mesma peca varia 3x de preco entre linhas</t>
        </is>
      </c>
      <c r="I96" s="18" t="inlineStr">
        <is>
          <t>sim</t>
        </is>
      </c>
    </row>
    <row r="97">
      <c r="A97" s="9" t="inlineStr">
        <is>
          <t>REV-ARG</t>
        </is>
      </c>
      <c r="B97" s="10" t="inlineStr">
        <is>
          <t>revestimento</t>
        </is>
      </c>
      <c r="C97" s="11" t="inlineStr">
        <is>
          <t>Argamassa colante AC-III e regularizacao</t>
        </is>
      </c>
      <c r="D97" s="10" t="inlineStr">
        <is>
          <t>m2</t>
        </is>
      </c>
      <c r="E97" s="14" t="n">
        <v>511.1</v>
      </c>
      <c r="F97" s="11" t="inlineStr">
        <is>
          <t>revestimento ceramico conforme quadro de acabamentos por ambiente; area ja com 10 % de perda de corte e quebra</t>
        </is>
      </c>
      <c r="G97" s="11" t="inlineStr">
        <is>
          <t>NBR 13818, NBR 15463</t>
        </is>
      </c>
      <c r="H97" s="11" t="inlineStr">
        <is>
          <t>linha, formato e PEI: o modelo define o TIPO por ambiente, a linha e escolha de acabamento</t>
        </is>
      </c>
      <c r="I97" s="18" t="inlineStr">
        <is>
          <t>sim</t>
        </is>
      </c>
    </row>
    <row r="98">
      <c r="A98" s="9" t="inlineStr">
        <is>
          <t>MAR-TAMPO</t>
        </is>
      </c>
      <c r="B98" s="10" t="inlineStr">
        <is>
          <t>marcenaria</t>
        </is>
      </c>
      <c r="C98" s="11" t="inlineStr">
        <is>
          <t>Tampo de bancada (quartzo/granito)</t>
        </is>
      </c>
      <c r="D98" s="10" t="inlineStr">
        <is>
          <t>m2</t>
        </is>
      </c>
      <c r="E98" s="14" t="n">
        <v>7.17</v>
      </c>
      <c r="F98" s="11" t="inlineStr">
        <is>
          <t>marcenaria sob medida conforme planta de layout; MDF 18 mm com acabamento em laminado ou pintura PU; ferragem com amortecedor</t>
        </is>
      </c>
      <c r="G98" s="11" t="inlineStr"/>
      <c r="H98" s="11" t="inlineStr">
        <is>
          <t>desenho executivo de marcenaria: a planta da a extensao e a profundidade, nao o interior do movel</t>
        </is>
      </c>
      <c r="I98" s="18" t="inlineStr">
        <is>
          <t>sim</t>
        </is>
      </c>
    </row>
    <row r="99">
      <c r="A99" s="9" t="inlineStr">
        <is>
          <t>REV-RODAPE</t>
        </is>
      </c>
      <c r="B99" s="10" t="inlineStr">
        <is>
          <t>revestimento</t>
        </is>
      </c>
      <c r="C99" s="11" t="inlineStr">
        <is>
          <t>Rodape (poliestireno 100 mm, pintado)</t>
        </is>
      </c>
      <c r="D99" s="10" t="inlineStr">
        <is>
          <t>m</t>
        </is>
      </c>
      <c r="E99" s="14" t="n">
        <v>220.9</v>
      </c>
      <c r="F99" s="11" t="inlineStr">
        <is>
          <t>revestimento ceramico conforme quadro de acabamentos por ambiente; area ja com 10 % de perda de corte e quebra</t>
        </is>
      </c>
      <c r="G99" s="11" t="inlineStr">
        <is>
          <t>NBR 13818, NBR 15463</t>
        </is>
      </c>
      <c r="H99" s="11" t="inlineStr">
        <is>
          <t>linha, formato e PEI: o modelo define o TIPO por ambiente, a linha e escolha de acabamento</t>
        </is>
      </c>
      <c r="I99" s="18" t="inlineStr">
        <is>
          <t>sim</t>
        </is>
      </c>
    </row>
    <row r="100">
      <c r="A100" s="9" t="inlineStr">
        <is>
          <t>PIN-TINTA</t>
        </is>
      </c>
      <c r="B100" s="10" t="inlineStr">
        <is>
          <t>pintura</t>
        </is>
      </c>
      <c r="C100" s="11" t="inlineStr">
        <is>
          <t>Tinta latex (2 demaos, rendimento 10 m2/L)</t>
        </is>
      </c>
      <c r="D100" s="10" t="inlineStr">
        <is>
          <t>L</t>
        </is>
      </c>
      <c r="E100" s="14" t="n">
        <v>163.1</v>
      </c>
      <c r="F100" s="11" t="inlineStr">
        <is>
          <t>tinta e mao de obra conforme especificacao de acabamento; 2 demaos sobre selador; rendimento declarado na quantidade</t>
        </is>
      </c>
      <c r="G100" s="11" t="inlineStr">
        <is>
          <t>NBR 11702, NBR 13245</t>
        </is>
      </c>
      <c r="H100" s="11" t="inlineStr"/>
      <c r="I100" s="18" t="inlineStr">
        <is>
          <t>sim</t>
        </is>
      </c>
    </row>
    <row r="101">
      <c r="A101" s="9" t="inlineStr">
        <is>
          <t>PIN-FORRO</t>
        </is>
      </c>
      <c r="B101" s="10" t="inlineStr">
        <is>
          <t>pintura</t>
        </is>
      </c>
      <c r="C101" s="11" t="inlineStr">
        <is>
          <t>Pintura de forro (latex PVA fosco)</t>
        </is>
      </c>
      <c r="D101" s="10" t="inlineStr">
        <is>
          <t>m2</t>
        </is>
      </c>
      <c r="E101" s="14" t="n">
        <v>257</v>
      </c>
      <c r="F101" s="11" t="inlineStr">
        <is>
          <t>tinta e mao de obra conforme especificacao de acabamento; 2 demaos sobre selador; rendimento declarado na quantidade</t>
        </is>
      </c>
      <c r="G101" s="11" t="inlineStr">
        <is>
          <t>NBR 11702, NBR 13245</t>
        </is>
      </c>
      <c r="H101" s="11" t="inlineStr"/>
      <c r="I101" s="18" t="inlineStr">
        <is>
          <t>sim</t>
        </is>
      </c>
    </row>
    <row r="102">
      <c r="A102" s="9" t="inlineStr">
        <is>
          <t>EQP-SPLIT9</t>
        </is>
      </c>
      <c r="B102" s="10" t="inlineStr">
        <is>
          <t>equipamentos</t>
        </is>
      </c>
      <c r="C102" s="11" t="inlineStr">
        <is>
          <t>Split inverter 9.000 BTU/h</t>
        </is>
      </c>
      <c r="D102" s="10" t="inlineStr">
        <is>
          <t>un</t>
        </is>
      </c>
      <c r="E102" s="14" t="n">
        <v>3</v>
      </c>
      <c r="F102" s="11" t="inlineStr">
        <is>
          <t>equipamento novo, com garantia de fabrica e instalacao por credenciado; inverter, ciclo frio, R-32 ou R-410A, classe A</t>
        </is>
      </c>
      <c r="G102" s="11" t="inlineStr">
        <is>
          <t>NBR 16401, Portaria INMETRO de eficiencia</t>
        </is>
      </c>
      <c r="H102" s="11" t="inlineStr">
        <is>
          <t>marca e modelo: a capacidade esta dimensionada, a escolha do equipamento e do proprietario</t>
        </is>
      </c>
      <c r="I102" s="18" t="inlineStr">
        <is>
          <t>sim</t>
        </is>
      </c>
    </row>
    <row r="103">
      <c r="A103" s="9" t="inlineStr">
        <is>
          <t>MAR-ARM</t>
        </is>
      </c>
      <c r="B103" s="10" t="inlineStr">
        <is>
          <t>marcenaria</t>
        </is>
      </c>
      <c r="C103" s="11" t="inlineStr">
        <is>
          <t>Armario de MDF sob medida</t>
        </is>
      </c>
      <c r="D103" s="10" t="inlineStr">
        <is>
          <t>m2</t>
        </is>
      </c>
      <c r="E103" s="14" t="n">
        <v>5.94</v>
      </c>
      <c r="F103" s="11" t="inlineStr">
        <is>
          <t>marcenaria sob medida conforme planta de layout; MDF 18 mm com acabamento em laminado ou pintura PU; ferragem com amortecedor</t>
        </is>
      </c>
      <c r="G103" s="11" t="inlineStr"/>
      <c r="H103" s="11" t="inlineStr">
        <is>
          <t>desenho executivo de marcenaria: a planta da a extensao e a profundidade, nao o interior do movel</t>
        </is>
      </c>
      <c r="I103" s="18" t="inlineStr">
        <is>
          <t>sim</t>
        </is>
      </c>
    </row>
    <row r="104">
      <c r="A104" s="9" t="inlineStr">
        <is>
          <t>EQP-SPLIT30</t>
        </is>
      </c>
      <c r="B104" s="10" t="inlineStr">
        <is>
          <t>equipamentos</t>
        </is>
      </c>
      <c r="C104" s="11" t="inlineStr">
        <is>
          <t>Split inverter 30.000 BTU/h</t>
        </is>
      </c>
      <c r="D104" s="10" t="inlineStr">
        <is>
          <t>un</t>
        </is>
      </c>
      <c r="E104" s="14" t="n">
        <v>1</v>
      </c>
      <c r="F104" s="11" t="inlineStr">
        <is>
          <t>equipamento novo, com garantia de fabrica e instalacao por credenciado; inverter, ciclo frio, R-32 ou R-410A, classe A</t>
        </is>
      </c>
      <c r="G104" s="11" t="inlineStr">
        <is>
          <t>NBR 16401, Portaria INMETRO de eficiencia</t>
        </is>
      </c>
      <c r="H104" s="11" t="inlineStr">
        <is>
          <t>marca e modelo: a capacidade esta dimensionada, a escolha do equipamento e do proprietario</t>
        </is>
      </c>
      <c r="I104" s="18" t="inlineStr">
        <is>
          <t>sim</t>
        </is>
      </c>
    </row>
    <row r="105">
      <c r="A105" s="9" t="inlineStr">
        <is>
          <t>LUM-DOWNLIGHT18</t>
        </is>
      </c>
      <c r="B105" s="10" t="inlineStr">
        <is>
          <t>eletrica</t>
        </is>
      </c>
      <c r="C105" s="11" t="inlineStr">
        <is>
          <t>Downlight LED embutido 18 W</t>
        </is>
      </c>
      <c r="D105" s="10" t="inlineStr">
        <is>
          <t>un</t>
        </is>
      </c>
      <c r="E105" s="14" t="n">
        <v>39</v>
      </c>
      <c r="F105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05" s="11" t="inlineStr">
        <is>
          <t>NBR ISO/CIE 8995-1, Portaria INMETRO 20/2017 (LED)</t>
        </is>
      </c>
      <c r="H105" s="11" t="inlineStr">
        <is>
          <t>marca e modelo: o fluxo e a potencia de cada tipo estao declarados; o produto e escolha de acabamento</t>
        </is>
      </c>
      <c r="I105" s="18" t="inlineStr">
        <is>
          <t>sim</t>
        </is>
      </c>
    </row>
    <row r="106">
      <c r="A106" s="9" t="inlineStr">
        <is>
          <t>REV-REJ</t>
        </is>
      </c>
      <c r="B106" s="10" t="inlineStr">
        <is>
          <t>revestimento</t>
        </is>
      </c>
      <c r="C106" s="11" t="inlineStr">
        <is>
          <t>Rejunte epoxi/acrilico</t>
        </is>
      </c>
      <c r="D106" s="10" t="inlineStr">
        <is>
          <t>m2</t>
        </is>
      </c>
      <c r="E106" s="14" t="n">
        <v>511.1</v>
      </c>
      <c r="F106" s="11" t="inlineStr">
        <is>
          <t>revestimento ceramico conforme quadro de acabamentos por ambiente; area ja com 10 % de perda de corte e quebra</t>
        </is>
      </c>
      <c r="G106" s="11" t="inlineStr">
        <is>
          <t>NBR 13818, NBR 15463</t>
        </is>
      </c>
      <c r="H106" s="11" t="inlineStr">
        <is>
          <t>linha, formato e PEI: o modelo define o TIPO por ambiente, a linha e escolha de acabamento</t>
        </is>
      </c>
      <c r="I106" s="18" t="inlineStr">
        <is>
          <t>sim</t>
        </is>
      </c>
    </row>
    <row r="107">
      <c r="A107" s="9" t="inlineStr">
        <is>
          <t>LUM-DOWNLIGHT24</t>
        </is>
      </c>
      <c r="B107" s="10" t="inlineStr">
        <is>
          <t>eletrica</t>
        </is>
      </c>
      <c r="C107" s="11" t="inlineStr">
        <is>
          <t>Downlight LED embutido 24 W</t>
        </is>
      </c>
      <c r="D107" s="10" t="inlineStr">
        <is>
          <t>un</t>
        </is>
      </c>
      <c r="E107" s="14" t="n">
        <v>27</v>
      </c>
      <c r="F10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07" s="11" t="inlineStr">
        <is>
          <t>NBR ISO/CIE 8995-1, Portaria INMETRO 20/2017 (LED)</t>
        </is>
      </c>
      <c r="H107" s="11" t="inlineStr">
        <is>
          <t>marca e modelo: o fluxo e a potencia de cada tipo estao declarados; o produto e escolha de acabamento</t>
        </is>
      </c>
      <c r="I107" s="18" t="inlineStr">
        <is>
          <t>sim</t>
        </is>
      </c>
    </row>
    <row r="108">
      <c r="A108" s="9" t="inlineStr">
        <is>
          <t>LOU-VASO</t>
        </is>
      </c>
      <c r="B108" s="10" t="inlineStr">
        <is>
          <t>loucas</t>
        </is>
      </c>
      <c r="C108" s="11" t="inlineStr">
        <is>
          <t>Bacia sanitaria com caixa acoplada</t>
        </is>
      </c>
      <c r="D108" s="10" t="inlineStr">
        <is>
          <t>un</t>
        </is>
      </c>
      <c r="E108" s="14" t="n">
        <v>5</v>
      </c>
      <c r="F108" s="11" t="inlineStr">
        <is>
          <t>louca / metal sanitario de linha comercial, cor branca para louca e acabamento cromado para metal; quantidade contada das pecas LOCADAS em planta, nao estimada por comodo</t>
        </is>
      </c>
      <c r="G108" s="11" t="inlineStr">
        <is>
          <t>NBR 15097, NBR 15705</t>
        </is>
      </c>
      <c r="H108" s="11" t="inlineStr">
        <is>
          <t>linha e fabricante: louca e metal sao decisao de acabamento do proprietario, e a mesma peca varia 3x de preco entre linhas</t>
        </is>
      </c>
      <c r="I108" s="18" t="inlineStr">
        <is>
          <t>sim</t>
        </is>
      </c>
    </row>
    <row r="109">
      <c r="A109" s="9" t="inlineStr">
        <is>
          <t>MAR-CAB</t>
        </is>
      </c>
      <c r="B109" s="10" t="inlineStr">
        <is>
          <t>marcenaria</t>
        </is>
      </c>
      <c r="C109" s="11" t="inlineStr">
        <is>
          <t>Cabideiro e gaveteiro de closet</t>
        </is>
      </c>
      <c r="D109" s="10" t="inlineStr">
        <is>
          <t>m</t>
        </is>
      </c>
      <c r="E109" s="14" t="n">
        <v>12</v>
      </c>
      <c r="F109" s="11" t="inlineStr">
        <is>
          <t>marcenaria sob medida conforme planta de layout; MDF 18 mm com acabamento em laminado ou pintura PU; ferragem com amortecedor</t>
        </is>
      </c>
      <c r="G109" s="11" t="inlineStr"/>
      <c r="H109" s="11" t="inlineStr">
        <is>
          <t>desenho executivo de marcenaria: a planta da a extensao e a profundidade, nao o interior do movel</t>
        </is>
      </c>
      <c r="I109" s="18" t="inlineStr">
        <is>
          <t>sim</t>
        </is>
      </c>
    </row>
    <row r="110">
      <c r="A110" s="9" t="inlineStr">
        <is>
          <t>LUM-LINEAR</t>
        </is>
      </c>
      <c r="B110" s="10" t="inlineStr">
        <is>
          <t>eletrica</t>
        </is>
      </c>
      <c r="C110" s="11" t="inlineStr">
        <is>
          <t>Perfil linear LED 18 W/m com difusor (tarefa)</t>
        </is>
      </c>
      <c r="D110" s="10" t="inlineStr">
        <is>
          <t>m</t>
        </is>
      </c>
      <c r="E110" s="14" t="n">
        <v>17.4</v>
      </c>
      <c r="F11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0" s="11" t="inlineStr">
        <is>
          <t>NBR ISO/CIE 8995-1, Portaria INMETRO 20/2017 (LED)</t>
        </is>
      </c>
      <c r="H110" s="11" t="inlineStr">
        <is>
          <t>marca e modelo: o fluxo e a potencia de cada tipo estao declarados; o produto e escolha de acabamento</t>
        </is>
      </c>
      <c r="I110" s="18" t="inlineStr">
        <is>
          <t>sim</t>
        </is>
      </c>
    </row>
    <row r="111">
      <c r="A111" s="9" t="inlineStr">
        <is>
          <t>REV-FORRO-ACUST</t>
        </is>
      </c>
      <c r="B111" s="10" t="inlineStr">
        <is>
          <t>revestimento</t>
        </is>
      </c>
      <c r="C111" s="11" t="inlineStr">
        <is>
          <t>Forro absorvente perfurado (alfa 0,70), acabado de fabrica</t>
        </is>
      </c>
      <c r="D111" s="10" t="inlineStr">
        <is>
          <t>m2</t>
        </is>
      </c>
      <c r="E111" s="14" t="n">
        <v>30.2</v>
      </c>
      <c r="F111" s="11" t="inlineStr">
        <is>
          <t>revestimento ceramico conforme quadro de acabamentos por ambiente; area ja com 10 % de perda de corte e quebra</t>
        </is>
      </c>
      <c r="G111" s="11" t="inlineStr">
        <is>
          <t>NBR 13818, NBR 15463</t>
        </is>
      </c>
      <c r="H111" s="11" t="inlineStr">
        <is>
          <t>linha, formato e PEI: o modelo define o TIPO por ambiente, a linha e escolha de acabamento</t>
        </is>
      </c>
      <c r="I111" s="18" t="inlineStr">
        <is>
          <t>sim</t>
        </is>
      </c>
    </row>
    <row r="112">
      <c r="A112" s="9" t="inlineStr">
        <is>
          <t>EQP-PISC</t>
        </is>
      </c>
      <c r="B112" s="10" t="inlineStr">
        <is>
          <t>equipamentos</t>
        </is>
      </c>
      <c r="C112" s="11" t="inlineStr">
        <is>
          <t>Conjunto da piscina: bomba, filtro e tratamento</t>
        </is>
      </c>
      <c r="D112" s="10" t="inlineStr">
        <is>
          <t>cj</t>
        </is>
      </c>
      <c r="E112" s="14" t="n">
        <v>1</v>
      </c>
      <c r="F112" s="11" t="inlineStr">
        <is>
          <t>equipamento novo, com garantia de fabrica e instalacao por credenciado</t>
        </is>
      </c>
      <c r="G112" s="11" t="inlineStr"/>
      <c r="H112" s="11" t="inlineStr">
        <is>
          <t>marca e modelo: a capacidade esta dimensionada, a escolha do equipamento e do proprietario</t>
        </is>
      </c>
      <c r="I112" s="18" t="inlineStr">
        <is>
          <t>sim</t>
        </is>
      </c>
    </row>
    <row r="113">
      <c r="A113" s="9" t="inlineStr">
        <is>
          <t>MET-TORN</t>
        </is>
      </c>
      <c r="B113" s="10" t="inlineStr">
        <is>
          <t>loucas</t>
        </is>
      </c>
      <c r="C113" s="11" t="inlineStr">
        <is>
          <t>Torneira de bancada (lavatorio e cuba)</t>
        </is>
      </c>
      <c r="D113" s="10" t="inlineStr">
        <is>
          <t>un</t>
        </is>
      </c>
      <c r="E113" s="14" t="n">
        <v>8</v>
      </c>
      <c r="F113" s="11" t="inlineStr">
        <is>
          <t>louca / metal sanitario de linha comercial, cor branca para louca e acabamento cromado para metal; quantidade contada das pecas LOCADAS em planta, nao estimada por comodo</t>
        </is>
      </c>
      <c r="G113" s="11" t="inlineStr">
        <is>
          <t>NBR 15097, NBR 15705</t>
        </is>
      </c>
      <c r="H113" s="11" t="inlineStr">
        <is>
          <t>linha e fabricante: louca e metal sao decisao de acabamento do proprietario, e a mesma peca varia 3x de preco entre linhas</t>
        </is>
      </c>
      <c r="I113" s="18" t="inlineStr">
        <is>
          <t>sim</t>
        </is>
      </c>
    </row>
    <row r="114">
      <c r="A114" s="9" t="inlineStr">
        <is>
          <t>EQP-PORTAO</t>
        </is>
      </c>
      <c r="B114" s="10" t="inlineStr">
        <is>
          <t>equipamentos</t>
        </is>
      </c>
      <c r="C114" s="11" t="inlineStr">
        <is>
          <t>Automatizador de portao de correr</t>
        </is>
      </c>
      <c r="D114" s="10" t="inlineStr">
        <is>
          <t>un</t>
        </is>
      </c>
      <c r="E114" s="14" t="n">
        <v>1</v>
      </c>
      <c r="F114" s="11" t="inlineStr">
        <is>
          <t>equipamento novo, com garantia de fabrica e instalacao por credenciado</t>
        </is>
      </c>
      <c r="G114" s="11" t="inlineStr"/>
      <c r="H114" s="11" t="inlineStr">
        <is>
          <t>marca e modelo: a capacidade esta dimensionada, a escolha do equipamento e do proprietario</t>
        </is>
      </c>
      <c r="I114" s="18" t="inlineStr">
        <is>
          <t>sim</t>
        </is>
      </c>
    </row>
    <row r="115">
      <c r="A115" s="9" t="inlineStr">
        <is>
          <t>MAR-PRAT</t>
        </is>
      </c>
      <c r="B115" s="10" t="inlineStr">
        <is>
          <t>marcenaria</t>
        </is>
      </c>
      <c r="C115" s="11" t="inlineStr">
        <is>
          <t>Prateleira e nicho</t>
        </is>
      </c>
      <c r="D115" s="10" t="inlineStr">
        <is>
          <t>m</t>
        </is>
      </c>
      <c r="E115" s="14" t="n">
        <v>8.199999999999999</v>
      </c>
      <c r="F115" s="11" t="inlineStr">
        <is>
          <t>marcenaria sob medida conforme planta de layout; MDF 18 mm com acabamento em laminado ou pintura PU; ferragem com amortecedor</t>
        </is>
      </c>
      <c r="G115" s="11" t="inlineStr"/>
      <c r="H115" s="11" t="inlineStr">
        <is>
          <t>desenho executivo de marcenaria: a planta da a extensao e a profundidade, nao o interior do movel</t>
        </is>
      </c>
      <c r="I115" s="18" t="inlineStr">
        <is>
          <t>sim</t>
        </is>
      </c>
    </row>
    <row r="116">
      <c r="A116" s="9" t="inlineStr">
        <is>
          <t>LOU-LAV</t>
        </is>
      </c>
      <c r="B116" s="10" t="inlineStr">
        <is>
          <t>loucas</t>
        </is>
      </c>
      <c r="C116" s="11" t="inlineStr">
        <is>
          <t>Lavatorio / cuba de banheiro</t>
        </is>
      </c>
      <c r="D116" s="10" t="inlineStr">
        <is>
          <t>un</t>
        </is>
      </c>
      <c r="E116" s="14" t="n">
        <v>5</v>
      </c>
      <c r="F116" s="11" t="inlineStr">
        <is>
          <t>louca / metal sanitario de linha comercial, cor branca para louca e acabamento cromado para metal; quantidade contada das pecas LOCADAS em planta, nao estimada por comodo</t>
        </is>
      </c>
      <c r="G116" s="11" t="inlineStr">
        <is>
          <t>NBR 15097, NBR 15705</t>
        </is>
      </c>
      <c r="H116" s="11" t="inlineStr">
        <is>
          <t>linha e fabricante: louca e metal sao decisao de acabamento do proprietario, e a mesma peca varia 3x de preco entre linhas</t>
        </is>
      </c>
      <c r="I116" s="18" t="inlineStr">
        <is>
          <t>sim</t>
        </is>
      </c>
    </row>
    <row r="117">
      <c r="A117" s="9" t="inlineStr">
        <is>
          <t>LUM-SOBREPOR24</t>
        </is>
      </c>
      <c r="B117" s="10" t="inlineStr">
        <is>
          <t>eletrica</t>
        </is>
      </c>
      <c r="C117" s="11" t="inlineStr">
        <is>
          <t>Plafon LED de sobrepor 24 W</t>
        </is>
      </c>
      <c r="D117" s="10" t="inlineStr">
        <is>
          <t>un</t>
        </is>
      </c>
      <c r="E117" s="14" t="n">
        <v>12</v>
      </c>
      <c r="F11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7" s="11" t="inlineStr">
        <is>
          <t>NBR ISO/CIE 8995-1, Portaria INMETRO 20/2017 (LED)</t>
        </is>
      </c>
      <c r="H117" s="11" t="inlineStr">
        <is>
          <t>marca e modelo: o fluxo e a potencia de cada tipo estao declarados; o produto e escolha de acabamento</t>
        </is>
      </c>
      <c r="I117" s="18" t="inlineStr">
        <is>
          <t>sim</t>
        </is>
      </c>
    </row>
    <row r="118">
      <c r="A118" s="9" t="inlineStr">
        <is>
          <t>LOU-CUBA</t>
        </is>
      </c>
      <c r="B118" s="10" t="inlineStr">
        <is>
          <t>loucas</t>
        </is>
      </c>
      <c r="C118" s="11" t="inlineStr">
        <is>
          <t>Cuba de cozinha / gourmet / lavanderia em inox</t>
        </is>
      </c>
      <c r="D118" s="10" t="inlineStr">
        <is>
          <t>un</t>
        </is>
      </c>
      <c r="E118" s="14" t="n">
        <v>3</v>
      </c>
      <c r="F118" s="11" t="inlineStr">
        <is>
          <t>louca / metal sanitario de linha comercial, cor branca para louca e acabamento cromado para metal; quantidade contada das pecas LOCADAS em planta, nao estimada por comodo</t>
        </is>
      </c>
      <c r="G118" s="11" t="inlineStr">
        <is>
          <t>NBR 15097, NBR 15705</t>
        </is>
      </c>
      <c r="H118" s="11" t="inlineStr">
        <is>
          <t>linha e fabricante: louca e metal sao decisao de acabamento do proprietario, e a mesma peca varia 3x de preco entre linhas</t>
        </is>
      </c>
      <c r="I118" s="18" t="inlineStr">
        <is>
          <t>sim</t>
        </is>
      </c>
    </row>
    <row r="119">
      <c r="A119" s="9" t="inlineStr">
        <is>
          <t>MET-ACESS</t>
        </is>
      </c>
      <c r="B119" s="10" t="inlineStr">
        <is>
          <t>loucas</t>
        </is>
      </c>
      <c r="C119" s="11" t="inlineStr">
        <is>
          <t>Acessorios (papeleira, cabide, saboneteira, toalheiro)</t>
        </is>
      </c>
      <c r="D119" s="10" t="inlineStr">
        <is>
          <t>un</t>
        </is>
      </c>
      <c r="E119" s="14" t="n">
        <v>24</v>
      </c>
      <c r="F119" s="11" t="inlineStr">
        <is>
          <t>louca / metal sanitario de linha comercial, cor branca para louca e acabamento cromado para metal; quantidade contada das pecas LOCADAS em planta, nao estimada por comodo</t>
        </is>
      </c>
      <c r="G119" s="11" t="inlineStr">
        <is>
          <t>NBR 15097, NBR 15705</t>
        </is>
      </c>
      <c r="H119" s="11" t="inlineStr">
        <is>
          <t>linha e fabricante: louca e metal sao decisao de acabamento do proprietario, e a mesma peca varia 3x de preco entre linhas</t>
        </is>
      </c>
      <c r="I119" s="18" t="inlineStr">
        <is>
          <t>sim</t>
        </is>
      </c>
    </row>
    <row r="120">
      <c r="A120" s="9" t="inlineStr">
        <is>
          <t>ELE-TUG</t>
        </is>
      </c>
      <c r="B120" s="10" t="inlineStr">
        <is>
          <t>eletrica</t>
        </is>
      </c>
      <c r="C120" s="11" t="inlineStr">
        <is>
          <t>Tomada 2P+T 10 A com placa</t>
        </is>
      </c>
      <c r="D120" s="10" t="inlineStr">
        <is>
          <t>un</t>
        </is>
      </c>
      <c r="E120" s="14" t="n">
        <v>71</v>
      </c>
      <c r="F120" s="11" t="inlineStr">
        <is>
          <t>dispositivo de embutir em caixa 4x2 / 4x4, linha unica em toda a casa; tensao 127 V para TUG e 220 V para TUE, conforme esquema declarado no projeto</t>
        </is>
      </c>
      <c r="G120" s="11" t="inlineStr">
        <is>
          <t>NBR 14136, NBR 5410</t>
        </is>
      </c>
      <c r="H120" s="11" t="inlineStr"/>
      <c r="I120" s="18" t="inlineStr">
        <is>
          <t>sim</t>
        </is>
      </c>
    </row>
    <row r="121">
      <c r="A121" s="9" t="inlineStr">
        <is>
          <t>PIN-SELADOR</t>
        </is>
      </c>
      <c r="B121" s="10" t="inlineStr">
        <is>
          <t>pintura</t>
        </is>
      </c>
      <c r="C121" s="11" t="inlineStr">
        <is>
          <t>Selador acrilico</t>
        </is>
      </c>
      <c r="D121" s="10" t="inlineStr">
        <is>
          <t>L</t>
        </is>
      </c>
      <c r="E121" s="14" t="n">
        <v>68</v>
      </c>
      <c r="F121" s="11" t="inlineStr">
        <is>
          <t>tinta e mao de obra conforme especificacao de acabamento; 2 demaos sobre selador; rendimento declarado na quantidade</t>
        </is>
      </c>
      <c r="G121" s="11" t="inlineStr">
        <is>
          <t>NBR 11702, NBR 13245</t>
        </is>
      </c>
      <c r="H121" s="11" t="inlineStr"/>
      <c r="I121" s="18" t="inlineStr">
        <is>
          <t>sim</t>
        </is>
      </c>
    </row>
    <row r="122">
      <c r="A122" s="9" t="inlineStr">
        <is>
          <t>EQP-EXAUST</t>
        </is>
      </c>
      <c r="B122" s="10" t="inlineStr">
        <is>
          <t>equipamentos</t>
        </is>
      </c>
      <c r="C122" s="11" t="inlineStr">
        <is>
          <t>Exaustor / coifa</t>
        </is>
      </c>
      <c r="D122" s="10" t="inlineStr">
        <is>
          <t>un</t>
        </is>
      </c>
      <c r="E122" s="14" t="n">
        <v>7</v>
      </c>
      <c r="F122" s="11" t="inlineStr">
        <is>
          <t>equipamento novo, com garantia de fabrica e instalacao por credenciado</t>
        </is>
      </c>
      <c r="G122" s="11" t="inlineStr"/>
      <c r="H122" s="11" t="inlineStr">
        <is>
          <t>marca e modelo: a capacidade esta dimensionada, a escolha do equipamento e do proprietario</t>
        </is>
      </c>
      <c r="I122" s="18" t="inlineStr">
        <is>
          <t>sim</t>
        </is>
      </c>
    </row>
    <row r="123">
      <c r="A123" s="9" t="inlineStr">
        <is>
          <t>LUM-DOWNLIGHT12</t>
        </is>
      </c>
      <c r="B123" s="10" t="inlineStr">
        <is>
          <t>eletrica</t>
        </is>
      </c>
      <c r="C123" s="11" t="inlineStr">
        <is>
          <t>Downlight LED embutido 12 W</t>
        </is>
      </c>
      <c r="D123" s="10" t="inlineStr">
        <is>
          <t>un</t>
        </is>
      </c>
      <c r="E123" s="14" t="n">
        <v>14</v>
      </c>
      <c r="F12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23" s="11" t="inlineStr">
        <is>
          <t>NBR ISO/CIE 8995-1, Portaria INMETRO 20/2017 (LED)</t>
        </is>
      </c>
      <c r="H123" s="11" t="inlineStr">
        <is>
          <t>marca e modelo: o fluxo e a potencia de cada tipo estao declarados; o produto e escolha de acabamento</t>
        </is>
      </c>
      <c r="I123" s="18" t="inlineStr">
        <is>
          <t>sim</t>
        </is>
      </c>
    </row>
    <row r="124">
      <c r="A124" s="9" t="inlineStr">
        <is>
          <t>MET-CHUV</t>
        </is>
      </c>
      <c r="B124" s="10" t="inlineStr">
        <is>
          <t>loucas</t>
        </is>
      </c>
      <c r="C124" s="11" t="inlineStr">
        <is>
          <t>Chuveiro eletrico 220 V</t>
        </is>
      </c>
      <c r="D124" s="10" t="inlineStr">
        <is>
          <t>un</t>
        </is>
      </c>
      <c r="E124" s="14" t="n">
        <v>4</v>
      </c>
      <c r="F124" s="11" t="inlineStr">
        <is>
          <t>louca / metal sanitario de linha comercial, cor branca para louca e acabamento cromado para metal; quantidade contada das pecas LOCADAS em planta, nao estimada por comodo</t>
        </is>
      </c>
      <c r="G124" s="11" t="inlineStr">
        <is>
          <t>NBR 15097, NBR 15705</t>
        </is>
      </c>
      <c r="H124" s="11" t="inlineStr">
        <is>
          <t>linha e fabricante: louca e metal sao decisao de acabamento do proprietario, e a mesma peca varia 3x de preco entre linhas</t>
        </is>
      </c>
      <c r="I124" s="18" t="inlineStr">
        <is>
          <t>sim</t>
        </is>
      </c>
    </row>
    <row r="125">
      <c r="A125" s="9" t="inlineStr">
        <is>
          <t>MET-REG</t>
        </is>
      </c>
      <c r="B125" s="10" t="inlineStr">
        <is>
          <t>loucas</t>
        </is>
      </c>
      <c r="C125" s="11" t="inlineStr">
        <is>
          <t>Registro de gaveta e de pressao</t>
        </is>
      </c>
      <c r="D125" s="10" t="inlineStr">
        <is>
          <t>un</t>
        </is>
      </c>
      <c r="E125" s="14" t="n">
        <v>12</v>
      </c>
      <c r="F125" s="11" t="inlineStr">
        <is>
          <t>louca / metal sanitario de linha comercial, cor branca para louca e acabamento cromado para metal; quantidade contada das pecas LOCADAS em planta, nao estimada por comodo</t>
        </is>
      </c>
      <c r="G125" s="11" t="inlineStr">
        <is>
          <t>NBR 15097, NBR 15705</t>
        </is>
      </c>
      <c r="H125" s="11" t="inlineStr">
        <is>
          <t>linha e fabricante: louca e metal sao decisao de acabamento do proprietario, e a mesma peca varia 3x de preco entre linhas</t>
        </is>
      </c>
      <c r="I125" s="18" t="inlineStr">
        <is>
          <t>sim</t>
        </is>
      </c>
    </row>
    <row r="126">
      <c r="A126" s="9" t="inlineStr">
        <is>
          <t>ELE-DR</t>
        </is>
      </c>
      <c r="B126" s="10" t="inlineStr">
        <is>
          <t>eletrica</t>
        </is>
      </c>
      <c r="C126" s="11" t="inlineStr">
        <is>
          <t>Disjuntor diferencial residual 30 mA</t>
        </is>
      </c>
      <c r="D126" s="10" t="inlineStr">
        <is>
          <t>un</t>
        </is>
      </c>
      <c r="E126" s="14" t="n">
        <v>6</v>
      </c>
      <c r="F126" s="11" t="inlineStr">
        <is>
          <t>dispositivo de embutir em caixa 4x2 / 4x4, linha unica em toda a casa; tensao 127 V para TUG e 220 V para TUE, conforme esquema declarado no projeto</t>
        </is>
      </c>
      <c r="G126" s="11" t="inlineStr">
        <is>
          <t>NBR 14136, NBR 5410</t>
        </is>
      </c>
      <c r="H126" s="11" t="inlineStr"/>
      <c r="I126" s="18" t="inlineStr">
        <is>
          <t>sim</t>
        </is>
      </c>
    </row>
    <row r="127">
      <c r="A127" s="9" t="inlineStr">
        <is>
          <t>MET-DUCHA</t>
        </is>
      </c>
      <c r="B127" s="10" t="inlineStr">
        <is>
          <t>loucas</t>
        </is>
      </c>
      <c r="C127" s="11" t="inlineStr">
        <is>
          <t>Ducha higienica com registro</t>
        </is>
      </c>
      <c r="D127" s="10" t="inlineStr">
        <is>
          <t>un</t>
        </is>
      </c>
      <c r="E127" s="14" t="n">
        <v>5</v>
      </c>
      <c r="F127" s="11" t="inlineStr">
        <is>
          <t>louca / metal sanitario de linha comercial, cor branca para louca e acabamento cromado para metal; quantidade contada das pecas LOCADAS em planta, nao estimada por comodo</t>
        </is>
      </c>
      <c r="G127" s="11" t="inlineStr">
        <is>
          <t>NBR 15097, NBR 15705</t>
        </is>
      </c>
      <c r="H127" s="11" t="inlineStr">
        <is>
          <t>linha e fabricante: louca e metal sao decisao de acabamento do proprietario, e a mesma peca varia 3x de preco entre linhas</t>
        </is>
      </c>
      <c r="I127" s="18" t="inlineStr">
        <is>
          <t>sim</t>
        </is>
      </c>
    </row>
    <row r="128">
      <c r="A128" s="9" t="inlineStr">
        <is>
          <t>LUM-ARANDELA</t>
        </is>
      </c>
      <c r="B128" s="10" t="inlineStr">
        <is>
          <t>eletrica</t>
        </is>
      </c>
      <c r="C128" s="11" t="inlineStr">
        <is>
          <t>Arandela LED IP44 de espelho, 8 W</t>
        </is>
      </c>
      <c r="D128" s="10" t="inlineStr">
        <is>
          <t>un</t>
        </is>
      </c>
      <c r="E128" s="14" t="n">
        <v>6</v>
      </c>
      <c r="F128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28" s="11" t="inlineStr">
        <is>
          <t>NBR ISO/CIE 8995-1, Portaria INMETRO 20/2017 (LED)</t>
        </is>
      </c>
      <c r="H128" s="11" t="inlineStr">
        <is>
          <t>marca e modelo: o fluxo e a potencia de cada tipo estao declarados; o produto e escolha de acabamento</t>
        </is>
      </c>
      <c r="I128" s="18" t="inlineStr">
        <is>
          <t>sim</t>
        </is>
      </c>
    </row>
    <row r="129">
      <c r="A129" s="9" t="inlineStr">
        <is>
          <t>LUM-PENDENTE40</t>
        </is>
      </c>
      <c r="B129" s="10" t="inlineStr">
        <is>
          <t>eletrica</t>
        </is>
      </c>
      <c r="C129" s="11" t="inlineStr">
        <is>
          <t>Pendente LED de pe-direito duplo, 40 W</t>
        </is>
      </c>
      <c r="D129" s="10" t="inlineStr">
        <is>
          <t>un</t>
        </is>
      </c>
      <c r="E129" s="14" t="n">
        <v>2</v>
      </c>
      <c r="F129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29" s="11" t="inlineStr">
        <is>
          <t>NBR ISO/CIE 8995-1, Portaria INMETRO 20/2017 (LED)</t>
        </is>
      </c>
      <c r="H129" s="11" t="inlineStr">
        <is>
          <t>marca e modelo: o fluxo e a potencia de cada tipo estao declarados; o produto e escolha de acabamento</t>
        </is>
      </c>
      <c r="I129" s="18" t="inlineStr">
        <is>
          <t>sim</t>
        </is>
      </c>
    </row>
    <row r="130">
      <c r="A130" s="9" t="inlineStr">
        <is>
          <t>ELE-INT</t>
        </is>
      </c>
      <c r="B130" s="10" t="inlineStr">
        <is>
          <t>eletrica</t>
        </is>
      </c>
      <c r="C130" s="11" t="inlineStr">
        <is>
          <t>Interruptor simples e paralelo com placa</t>
        </is>
      </c>
      <c r="D130" s="10" t="inlineStr">
        <is>
          <t>un</t>
        </is>
      </c>
      <c r="E130" s="14" t="n">
        <v>25</v>
      </c>
      <c r="F130" s="11" t="inlineStr">
        <is>
          <t>dispositivo de embutir em caixa 4x2 / 4x4, linha unica em toda a casa; tensao 127 V para TUG e 220 V para TUE, conforme esquema declarado no projeto</t>
        </is>
      </c>
      <c r="G130" s="11" t="inlineStr">
        <is>
          <t>NBR 14136, NBR 5410</t>
        </is>
      </c>
      <c r="H130" s="11" t="inlineStr"/>
      <c r="I130" s="18" t="inlineStr">
        <is>
          <t>sim</t>
        </is>
      </c>
    </row>
    <row r="131">
      <c r="A131" s="9" t="inlineStr">
        <is>
          <t>LOU-ASSENTO</t>
        </is>
      </c>
      <c r="B131" s="10" t="inlineStr">
        <is>
          <t>loucas</t>
        </is>
      </c>
      <c r="C131" s="11" t="inlineStr">
        <is>
          <t>Assento sanitario com amortecedor</t>
        </is>
      </c>
      <c r="D131" s="10" t="inlineStr">
        <is>
          <t>un</t>
        </is>
      </c>
      <c r="E131" s="14" t="n">
        <v>5</v>
      </c>
      <c r="F131" s="11" t="inlineStr">
        <is>
          <t>louca / metal sanitario de linha comercial, cor branca para louca e acabamento cromado para metal; quantidade contada das pecas LOCADAS em planta, nao estimada por comodo</t>
        </is>
      </c>
      <c r="G131" s="11" t="inlineStr">
        <is>
          <t>NBR 15097, NBR 15705</t>
        </is>
      </c>
      <c r="H131" s="11" t="inlineStr">
        <is>
          <t>linha e fabricante: louca e metal sao decisao de acabamento do proprietario, e a mesma peca varia 3x de preco entre linhas</t>
        </is>
      </c>
      <c r="I131" s="18" t="inlineStr">
        <is>
          <t>sim</t>
        </is>
      </c>
    </row>
    <row r="132">
      <c r="A132" s="9" t="inlineStr">
        <is>
          <t>ELE-TUE</t>
        </is>
      </c>
      <c r="B132" s="10" t="inlineStr">
        <is>
          <t>eletrica</t>
        </is>
      </c>
      <c r="C132" s="11" t="inlineStr">
        <is>
          <t>Tomada de uso especifico 20 A com placa</t>
        </is>
      </c>
      <c r="D132" s="10" t="inlineStr">
        <is>
          <t>un</t>
        </is>
      </c>
      <c r="E132" s="14" t="n">
        <v>24</v>
      </c>
      <c r="F132" s="11" t="inlineStr">
        <is>
          <t>dispositivo de embutir em caixa 4x2 / 4x4, linha unica em toda a casa; tensao 127 V para TUG e 220 V para TUE, conforme esquema declarado no projeto</t>
        </is>
      </c>
      <c r="G132" s="11" t="inlineStr">
        <is>
          <t>NBR 14136, NBR 5410</t>
        </is>
      </c>
      <c r="H132" s="11" t="inlineStr"/>
      <c r="I132" s="18" t="inlineStr">
        <is>
          <t>sim</t>
        </is>
      </c>
    </row>
    <row r="133">
      <c r="A133" s="9" t="inlineStr">
        <is>
          <t>LUM-BALIZADOR</t>
        </is>
      </c>
      <c r="B133" s="10" t="inlineStr">
        <is>
          <t>eletrica</t>
        </is>
      </c>
      <c r="C133" s="11" t="inlineStr">
        <is>
          <t>Balizador LED de escada, 3 W</t>
        </is>
      </c>
      <c r="D133" s="10" t="inlineStr">
        <is>
          <t>un</t>
        </is>
      </c>
      <c r="E133" s="14" t="n">
        <v>6</v>
      </c>
      <c r="F13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3" s="11" t="inlineStr">
        <is>
          <t>NBR ISO/CIE 8995-1, Portaria INMETRO 20/2017 (LED)</t>
        </is>
      </c>
      <c r="H133" s="11" t="inlineStr">
        <is>
          <t>marca e modelo: o fluxo e a potencia de cada tipo estao declarados; o produto e escolha de acabamento</t>
        </is>
      </c>
      <c r="I133" s="18" t="inlineStr">
        <is>
          <t>sim</t>
        </is>
      </c>
    </row>
    <row r="134">
      <c r="A134" s="9" t="inlineStr">
        <is>
          <t>MET-ENGATE</t>
        </is>
      </c>
      <c r="B134" s="10" t="inlineStr">
        <is>
          <t>loucas</t>
        </is>
      </c>
      <c r="C134" s="11" t="inlineStr">
        <is>
          <t>Engate flexivel</t>
        </is>
      </c>
      <c r="D134" s="10" t="inlineStr">
        <is>
          <t>un</t>
        </is>
      </c>
      <c r="E134" s="14" t="n">
        <v>23</v>
      </c>
      <c r="F134" s="11" t="inlineStr">
        <is>
          <t>louca / metal sanitario de linha comercial, cor branca para louca e acabamento cromado para metal; quantidade contada das pecas LOCADAS em planta, nao estimada por comodo</t>
        </is>
      </c>
      <c r="G134" s="11" t="inlineStr">
        <is>
          <t>NBR 15097, NBR 15705</t>
        </is>
      </c>
      <c r="H134" s="11" t="inlineStr">
        <is>
          <t>linha e fabricante: louca e metal sao decisao de acabamento do proprietario, e a mesma peca varia 3x de preco entre linhas</t>
        </is>
      </c>
      <c r="I134" s="18" t="inlineStr">
        <is>
          <t>sim</t>
        </is>
      </c>
    </row>
    <row r="135">
      <c r="A135" s="9" t="inlineStr">
        <is>
          <t>MET-TORN-T</t>
        </is>
      </c>
      <c r="B135" s="10" t="inlineStr">
        <is>
          <t>loucas</t>
        </is>
      </c>
      <c r="C135" s="11" t="inlineStr">
        <is>
          <t>Torneira de tanque e de jardim</t>
        </is>
      </c>
      <c r="D135" s="10" t="inlineStr">
        <is>
          <t>un</t>
        </is>
      </c>
      <c r="E135" s="14" t="n">
        <v>3</v>
      </c>
      <c r="F135" s="11" t="inlineStr">
        <is>
          <t>louca / metal sanitario de linha comercial, cor branca para louca e acabamento cromado para metal; quantidade contada das pecas LOCADAS em planta, nao estimada por comodo</t>
        </is>
      </c>
      <c r="G135" s="11" t="inlineStr">
        <is>
          <t>NBR 15097, NBR 15705</t>
        </is>
      </c>
      <c r="H135" s="11" t="inlineStr">
        <is>
          <t>linha e fabricante: louca e metal sao decisao de acabamento do proprietario, e a mesma peca varia 3x de preco entre linhas</t>
        </is>
      </c>
      <c r="I135" s="18" t="inlineStr">
        <is>
          <t>sim</t>
        </is>
      </c>
    </row>
    <row r="136">
      <c r="A136" s="9" t="inlineStr">
        <is>
          <t>MET-VALV</t>
        </is>
      </c>
      <c r="B136" s="10" t="inlineStr">
        <is>
          <t>loucas</t>
        </is>
      </c>
      <c r="C136" s="11" t="inlineStr">
        <is>
          <t>Valvula de escoamento e de lavatorio</t>
        </is>
      </c>
      <c r="D136" s="10" t="inlineStr">
        <is>
          <t>un</t>
        </is>
      </c>
      <c r="E136" s="14" t="n">
        <v>9</v>
      </c>
      <c r="F136" s="11" t="inlineStr">
        <is>
          <t>louca / metal sanitario de linha comercial, cor branca para louca e acabamento cromado para metal; quantidade contada das pecas LOCADAS em planta, nao estimada por comodo</t>
        </is>
      </c>
      <c r="G136" s="11" t="inlineStr">
        <is>
          <t>NBR 15097, NBR 15705</t>
        </is>
      </c>
      <c r="H136" s="11" t="inlineStr">
        <is>
          <t>linha e fabricante: louca e metal sao decisao de acabamento do proprietario, e a mesma peca varia 3x de preco entre linhas</t>
        </is>
      </c>
      <c r="I136" s="18" t="inlineStr">
        <is>
          <t>sim</t>
        </is>
      </c>
    </row>
    <row r="137">
      <c r="A137" s="9" t="inlineStr">
        <is>
          <t>MET-SIFAO</t>
        </is>
      </c>
      <c r="B137" s="10" t="inlineStr">
        <is>
          <t>loucas</t>
        </is>
      </c>
      <c r="C137" s="11" t="inlineStr">
        <is>
          <t>Sifao flexivel</t>
        </is>
      </c>
      <c r="D137" s="10" t="inlineStr">
        <is>
          <t>un</t>
        </is>
      </c>
      <c r="E137" s="14" t="n">
        <v>9</v>
      </c>
      <c r="F137" s="11" t="inlineStr">
        <is>
          <t>louca / metal sanitario de linha comercial, cor branca para louca e acabamento cromado para metal; quantidade contada das pecas LOCADAS em planta, nao estimada por comodo</t>
        </is>
      </c>
      <c r="G137" s="11" t="inlineStr">
        <is>
          <t>NBR 15097, NBR 15705</t>
        </is>
      </c>
      <c r="H137" s="11" t="inlineStr">
        <is>
          <t>linha e fabricante: louca e metal sao decisao de acabamento do proprietario, e a mesma peca varia 3x de preco entre linhas</t>
        </is>
      </c>
      <c r="I137" s="18" t="inlineStr">
        <is>
          <t>sim</t>
        </is>
      </c>
    </row>
    <row r="138">
      <c r="A138" s="9" t="inlineStr">
        <is>
          <t>LOU-TANQUE</t>
        </is>
      </c>
      <c r="B138" s="10" t="inlineStr">
        <is>
          <t>loucas</t>
        </is>
      </c>
      <c r="C138" s="11" t="inlineStr">
        <is>
          <t>Tanque de lavanderia</t>
        </is>
      </c>
      <c r="D138" s="10" t="inlineStr">
        <is>
          <t>un</t>
        </is>
      </c>
      <c r="E138" s="14" t="n">
        <v>1</v>
      </c>
      <c r="F138" s="11" t="inlineStr">
        <is>
          <t>louca / metal sanitario de linha comercial, cor branca para louca e acabamento cromado para metal; quantidade contada das pecas LOCADAS em planta, nao estimada por comodo</t>
        </is>
      </c>
      <c r="G138" s="11" t="inlineStr">
        <is>
          <t>NBR 15097, NBR 15705</t>
        </is>
      </c>
      <c r="H138" s="11" t="inlineStr">
        <is>
          <t>linha e fabricante: louca e metal sao decisao de acabamento do proprietario, e a mesma peca varia 3x de preco entre linhas</t>
        </is>
      </c>
      <c r="I138" s="18" t="inlineStr">
        <is>
          <t>sim</t>
        </is>
      </c>
    </row>
    <row r="139">
      <c r="A139" s="9" t="inlineStr">
        <is>
          <t>ELE-DPS</t>
        </is>
      </c>
      <c r="B139" s="10" t="inlineStr">
        <is>
          <t>eletrica</t>
        </is>
      </c>
      <c r="C139" s="11" t="inlineStr">
        <is>
          <t>Dispositivo de protecao contra surtos</t>
        </is>
      </c>
      <c r="D139" s="10" t="inlineStr">
        <is>
          <t>un</t>
        </is>
      </c>
      <c r="E139" s="14" t="n">
        <v>2</v>
      </c>
      <c r="F139" s="11" t="inlineStr">
        <is>
          <t>dispositivo de embutir em caixa 4x2 / 4x4, linha unica em toda a casa; tensao 127 V para TUG e 220 V para TUE, conforme esquema declarado no projeto</t>
        </is>
      </c>
      <c r="G139" s="11" t="inlineStr">
        <is>
          <t>NBR 14136, NBR 5410</t>
        </is>
      </c>
      <c r="H139" s="11" t="inlineStr"/>
      <c r="I139" s="18" t="inlineStr">
        <is>
          <t>sim</t>
        </is>
      </c>
    </row>
    <row r="141">
      <c r="A141" s="3" t="inlineStr">
        <is>
          <t>ROTA ALTERNATIVA — peça cortada e furada em vez de barra</t>
        </is>
      </c>
    </row>
    <row r="142">
      <c r="A142" s="2" t="inlineStr">
        <is>
          <t>Estes itens NÃO entram no total: são a mesma estrutura comprada pronta. Cotar os dois e comparar contra o custo de corte próprio.</t>
        </is>
      </c>
    </row>
    <row r="143">
      <c r="A143" s="26" t="inlineStr">
        <is>
          <t>ITEM</t>
        </is>
      </c>
      <c r="B143" s="26" t="inlineStr">
        <is>
          <t>DESCRIÇÃO</t>
        </is>
      </c>
      <c r="C143" s="26" t="inlineStr">
        <is>
          <t>UN</t>
        </is>
      </c>
      <c r="D143" s="26" t="inlineStr">
        <is>
          <t>QUANTIDADE</t>
        </is>
      </c>
      <c r="E143" s="26" t="inlineStr">
        <is>
          <t>ESPECIFICAÇÃO</t>
        </is>
      </c>
      <c r="F143" s="26" t="inlineStr">
        <is>
          <t>NORMAS</t>
        </is>
      </c>
    </row>
    <row r="144">
      <c r="A144" s="9" t="inlineStr">
        <is>
          <t>PF-Ue 90x40x12x0,95</t>
        </is>
      </c>
      <c r="B144" s="11" t="inlineStr">
        <is>
          <t>Ue 90x40x12x0,95</t>
        </is>
      </c>
      <c r="C144" s="10" t="inlineStr">
        <is>
          <t>pc</t>
        </is>
      </c>
      <c r="D144" s="14" t="n">
        <v>535</v>
      </c>
      <c r="E144" s="11" t="inlineStr">
        <is>
          <t>peca cortada e furada conforme Ue 90x40x12x0,95; rota ALTERNATIVA a barra: cotar peca pronta so faz sentido contra o custo de corte proprio</t>
        </is>
      </c>
      <c r="F144" s="10" t="inlineStr">
        <is>
          <t>NBR 15253</t>
        </is>
      </c>
    </row>
    <row r="145">
      <c r="A145" s="9" t="inlineStr">
        <is>
          <t>PF-Ue 250x40x15x3,00</t>
        </is>
      </c>
      <c r="B145" s="11" t="inlineStr">
        <is>
          <t>Ue 250x40x15x3,00</t>
        </is>
      </c>
      <c r="C145" s="10" t="inlineStr">
        <is>
          <t>pc</t>
        </is>
      </c>
      <c r="D145" s="14" t="n">
        <v>22</v>
      </c>
      <c r="E145" s="11" t="inlineStr">
        <is>
          <t>peca cortada e furada conforme Ue 250x40x15x3,00; rota ALTERNATIVA a barra: cotar peca pronta so faz sentido contra o custo de corte proprio</t>
        </is>
      </c>
      <c r="F145" s="10" t="inlineStr">
        <is>
          <t>NBR 15253</t>
        </is>
      </c>
    </row>
    <row r="146">
      <c r="A146" s="9" t="inlineStr">
        <is>
          <t>PF-U 92x38x0,95</t>
        </is>
      </c>
      <c r="B146" s="11" t="inlineStr">
        <is>
          <t>U 92x38x0,95</t>
        </is>
      </c>
      <c r="C146" s="10" t="inlineStr">
        <is>
          <t>pc</t>
        </is>
      </c>
      <c r="D146" s="14" t="n">
        <v>234</v>
      </c>
      <c r="E146" s="11" t="inlineStr">
        <is>
          <t>peca cortada e furada conforme U 92x38x0,95; rota ALTERNATIVA a barra: cotar peca pronta so faz sentido contra o custo de corte proprio</t>
        </is>
      </c>
      <c r="F146" s="10" t="inlineStr">
        <is>
          <t>NBR 15253</t>
        </is>
      </c>
    </row>
    <row r="147">
      <c r="A147" s="9" t="inlineStr">
        <is>
          <t>PF-Ue 250x40x12x2,25</t>
        </is>
      </c>
      <c r="B147" s="11" t="inlineStr">
        <is>
          <t>Ue 250x40x12x2,25</t>
        </is>
      </c>
      <c r="C147" s="10" t="inlineStr">
        <is>
          <t>pc</t>
        </is>
      </c>
      <c r="D147" s="14" t="n">
        <v>24</v>
      </c>
      <c r="E147" s="11" t="inlineStr">
        <is>
          <t>peca cortada e furada conforme Ue 250x40x12x2,25; rota ALTERNATIVA a barra: cotar peca pronta so faz sentido contra o custo de corte proprio</t>
        </is>
      </c>
      <c r="F147" s="10" t="inlineStr">
        <is>
          <t>NBR 15253</t>
        </is>
      </c>
    </row>
    <row r="148">
      <c r="A148" s="9" t="inlineStr">
        <is>
          <t>PF-Ue 200x40x12x1,25</t>
        </is>
      </c>
      <c r="B148" s="11" t="inlineStr">
        <is>
          <t>Ue 200x40x12x1,25</t>
        </is>
      </c>
      <c r="C148" s="10" t="inlineStr">
        <is>
          <t>pc</t>
        </is>
      </c>
      <c r="D148" s="14" t="n">
        <v>33</v>
      </c>
      <c r="E148" s="11" t="inlineStr">
        <is>
          <t>peca cortada e furada conforme Ue 200x40x12x1,25; rota ALTERNATIVA a barra: cotar peca pronta so faz sentido contra o custo de corte proprio</t>
        </is>
      </c>
      <c r="F148" s="10" t="inlineStr">
        <is>
          <t>NBR 15253</t>
        </is>
      </c>
    </row>
    <row r="149">
      <c r="A149" s="9" t="inlineStr">
        <is>
          <t>PF-Ue 200x40x12x0,95</t>
        </is>
      </c>
      <c r="B149" s="11" t="inlineStr">
        <is>
          <t>Ue 200x40x12x0,95</t>
        </is>
      </c>
      <c r="C149" s="10" t="inlineStr">
        <is>
          <t>pc</t>
        </is>
      </c>
      <c r="D149" s="14" t="n">
        <v>24</v>
      </c>
      <c r="E149" s="11" t="inlineStr">
        <is>
          <t>peca cortada e furada conforme Ue 200x40x12x0,95; rota ALTERNATIVA a barra: cotar peca pronta so faz sentido contra o custo de corte proprio</t>
        </is>
      </c>
      <c r="F149" s="10" t="inlineStr">
        <is>
          <t>NBR 15253</t>
        </is>
      </c>
    </row>
    <row r="150">
      <c r="A150" s="9" t="inlineStr">
        <is>
          <t>PF-Ue 140x40x12x0,80</t>
        </is>
      </c>
      <c r="B150" s="11" t="inlineStr">
        <is>
          <t>Ue 140x40x12x0,80</t>
        </is>
      </c>
      <c r="C150" s="10" t="inlineStr">
        <is>
          <t>pc</t>
        </is>
      </c>
      <c r="D150" s="14" t="n">
        <v>53</v>
      </c>
      <c r="E150" s="11" t="inlineStr">
        <is>
          <t>peca cortada e furada conforme Ue 140x40x12x0,80; rota ALTERNATIVA a barra: cotar peca pronta so faz sentido contra o custo de corte proprio</t>
        </is>
      </c>
      <c r="F150" s="10" t="inlineStr">
        <is>
          <t>NBR 15253</t>
        </is>
      </c>
    </row>
    <row r="151">
      <c r="A151" s="9" t="inlineStr">
        <is>
          <t>PF-Ue 90x40x12x1,25</t>
        </is>
      </c>
      <c r="B151" s="11" t="inlineStr">
        <is>
          <t>Ue 90x40x12x1,25</t>
        </is>
      </c>
      <c r="C151" s="10" t="inlineStr">
        <is>
          <t>pc</t>
        </is>
      </c>
      <c r="D151" s="14" t="n">
        <v>49</v>
      </c>
      <c r="E151" s="11" t="inlineStr">
        <is>
          <t>peca cortada e furada conforme Ue 90x40x12x1,25; rota ALTERNATIVA a barra: cotar peca pronta so faz sentido contra o custo de corte proprio</t>
        </is>
      </c>
      <c r="F151" s="10" t="inlineStr">
        <is>
          <t>NBR 15253</t>
        </is>
      </c>
    </row>
    <row r="152">
      <c r="A152" s="9" t="inlineStr">
        <is>
          <t>PF-Ue 140x40x12x1,25</t>
        </is>
      </c>
      <c r="B152" s="11" t="inlineStr">
        <is>
          <t>Ue 140x40x12x1,25</t>
        </is>
      </c>
      <c r="C152" s="10" t="inlineStr">
        <is>
          <t>pc</t>
        </is>
      </c>
      <c r="D152" s="14" t="n">
        <v>19</v>
      </c>
      <c r="E152" s="11" t="inlineStr">
        <is>
          <t>peca cortada e furada conforme Ue 140x40x12x1,25; rota ALTERNATIVA a barra: cotar peca pronta so faz sentido contra o custo de corte proprio</t>
        </is>
      </c>
      <c r="F152" s="10" t="inlineStr">
        <is>
          <t>NBR 15253</t>
        </is>
      </c>
    </row>
    <row r="153">
      <c r="A153" s="9" t="inlineStr">
        <is>
          <t>PF-Fita 38x0,80</t>
        </is>
      </c>
      <c r="B153" s="11" t="inlineStr">
        <is>
          <t>Fita 38x0,80</t>
        </is>
      </c>
      <c r="C153" s="10" t="inlineStr">
        <is>
          <t>pc</t>
        </is>
      </c>
      <c r="D153" s="14" t="n">
        <v>28</v>
      </c>
      <c r="E153" s="11" t="inlineStr">
        <is>
          <t>peca cortada e furada conforme Fita 38x0,80; rota ALTERNATIVA a barra: cotar peca pronta so faz sentido contra o custo de corte proprio</t>
        </is>
      </c>
      <c r="F153" s="10" t="inlineStr">
        <is>
          <t>NBR 15253</t>
        </is>
      </c>
    </row>
    <row r="154">
      <c r="A154" s="9" t="inlineStr">
        <is>
          <t>PLACA</t>
        </is>
      </c>
      <c r="B154" s="11" t="inlineStr">
        <is>
          <t>Placa (gesso, RU e cimenticia)</t>
        </is>
      </c>
      <c r="C154" s="10" t="inlineStr">
        <is>
          <t>pc</t>
        </is>
      </c>
      <c r="D154" s="14" t="n">
        <v>702</v>
      </c>
      <c r="E154" s="11" t="inlineStr">
        <is>
          <t>placa inteira, por formato — rota alternativa a compra por m2; formatos: 1200 x 2400, 1200 x 25000, 600 x 1250</t>
        </is>
      </c>
      <c r="F154" s="10" t="inlineStr">
        <is>
          <t>NBR 15758</t>
        </is>
      </c>
    </row>
  </sheetData>
  <autoFilter ref="A3:I139"/>
  <conditionalFormatting sqref="I4:I139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fundacao</t>
        </is>
      </c>
      <c r="B14" s="18" t="n">
        <v>1</v>
      </c>
      <c r="C14" s="10" t="inlineStr">
        <is>
          <t>Du Norte Comercio</t>
        </is>
      </c>
      <c r="D14" s="36" t="inlineStr">
        <is>
          <t>Manaus/AM</t>
        </is>
      </c>
      <c r="E14" s="11" t="inlineStr">
        <is>
          <t>cimento, areia e brita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fundacao</t>
        </is>
      </c>
      <c r="B15" s="18" t="n">
        <v>2</v>
      </c>
      <c r="C15" s="10" t="inlineStr">
        <is>
          <t>Loja do Rei Comercio de Material de Construcao</t>
        </is>
      </c>
      <c r="D15" s="36" t="inlineStr">
        <is>
          <t>Manaus/AM</t>
        </is>
      </c>
      <c r="E15" s="11" t="inlineStr">
        <is>
          <t>maior faturamento do setor na praca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fundacao</t>
        </is>
      </c>
      <c r="B16" s="18" t="n">
        <v>3</v>
      </c>
      <c r="C16" s="10" t="inlineStr">
        <is>
          <t>Bacuri Madeiras e Material de Construcao</t>
        </is>
      </c>
      <c r="D16" s="36" t="inlineStr">
        <is>
          <t>Manaus/AM</t>
        </is>
      </c>
      <c r="E16" s="11" t="inlineStr">
        <is>
          <t>insumos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fundacao</t>
        </is>
      </c>
      <c r="B17" s="18" t="n">
        <v>4</v>
      </c>
      <c r="C17" s="10" t="inlineStr">
        <is>
          <t>Concreteiras locais (usinas de Manaus)</t>
        </is>
      </c>
      <c r="D17" s="36" t="inlineStr">
        <is>
          <t>Manaus/AM</t>
        </is>
      </c>
      <c r="E17" s="11" t="inlineStr">
        <is>
          <t>concreto usinado fck 30 com bombeamento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fundacao</t>
        </is>
      </c>
      <c r="B18" s="18" t="n">
        <v>5</v>
      </c>
      <c r="C18" s="10" t="inlineStr">
        <is>
          <t>Gerdau / ArcelorMittal</t>
        </is>
      </c>
      <c r="D18" s="10" t="inlineStr">
        <is>
          <t>Nacional</t>
        </is>
      </c>
      <c r="E18" s="11" t="inlineStr">
        <is>
          <t>aco CA-50 e tela soldada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revestimento</t>
        </is>
      </c>
      <c r="B19" s="18" t="n">
        <v>1</v>
      </c>
      <c r="C19" s="10" t="inlineStr">
        <is>
          <t>Du Norte Comercio</t>
        </is>
      </c>
      <c r="D19" s="36" t="inlineStr">
        <is>
          <t>Manaus/AM</t>
        </is>
      </c>
      <c r="E19" s="11" t="inlineStr">
        <is>
          <t>porcelanato, argamassa e rejunte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revestimento</t>
        </is>
      </c>
      <c r="B20" s="18" t="n">
        <v>2</v>
      </c>
      <c r="C20" s="10" t="inlineStr">
        <is>
          <t>Loja do Rei</t>
        </is>
      </c>
      <c r="D20" s="36" t="inlineStr">
        <is>
          <t>Manaus/AM</t>
        </is>
      </c>
      <c r="E20" s="11" t="inlineStr">
        <is>
          <t>revestimento e assentamento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revestimento</t>
        </is>
      </c>
      <c r="B21" s="18" t="n">
        <v>3</v>
      </c>
      <c r="C21" s="10" t="inlineStr">
        <is>
          <t>Bacuri Materiais</t>
        </is>
      </c>
      <c r="D21" s="36" t="inlineStr">
        <is>
          <t>Manaus/AM</t>
        </is>
      </c>
      <c r="E21" s="11" t="inlineStr">
        <is>
          <t>revestimento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revestimento</t>
        </is>
      </c>
      <c r="B22" s="18" t="n">
        <v>4</v>
      </c>
      <c r="C22" s="10" t="inlineStr">
        <is>
          <t>Portobello / Eliane / Portinari</t>
        </is>
      </c>
      <c r="D22" s="10" t="inlineStr">
        <is>
          <t>Nacional</t>
        </is>
      </c>
      <c r="E22" s="11" t="inlineStr">
        <is>
          <t>porcelanato, fabricante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revestimento</t>
        </is>
      </c>
      <c r="B23" s="18" t="n">
        <v>5</v>
      </c>
      <c r="C23" s="10" t="inlineStr">
        <is>
          <t>Quartzolit / Votomassa</t>
        </is>
      </c>
      <c r="D23" s="10" t="inlineStr">
        <is>
          <t>Nacional</t>
        </is>
      </c>
      <c r="E23" s="11" t="inlineStr">
        <is>
          <t>argamassa colante e rejunte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externo</t>
        </is>
      </c>
      <c r="B24" s="18" t="n">
        <v>1</v>
      </c>
      <c r="C24" s="10" t="inlineStr">
        <is>
          <t>Du Norte Comercio</t>
        </is>
      </c>
      <c r="D24" s="36" t="inlineStr">
        <is>
          <t>Manaus/AM</t>
        </is>
      </c>
      <c r="E24" s="11" t="inlineStr">
        <is>
          <t>bloco, areia e brita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externo</t>
        </is>
      </c>
      <c r="B25" s="18" t="n">
        <v>2</v>
      </c>
      <c r="C25" s="10" t="inlineStr">
        <is>
          <t>Loja do Rei</t>
        </is>
      </c>
      <c r="D25" s="36" t="inlineStr">
        <is>
          <t>Manaus/AM</t>
        </is>
      </c>
      <c r="E25" s="11" t="inlineStr">
        <is>
          <t>bloco de concreto estrutural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externo</t>
        </is>
      </c>
      <c r="B26" s="18" t="n">
        <v>3</v>
      </c>
      <c r="C26" s="10" t="inlineStr">
        <is>
          <t>O K Representacao de Material de Construcao</t>
        </is>
      </c>
      <c r="D26" s="36" t="inlineStr">
        <is>
          <t>Manaus/AM</t>
        </is>
      </c>
      <c r="E26" s="11" t="inlineStr">
        <is>
          <t>representacao e distribuicao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externo</t>
        </is>
      </c>
      <c r="B27" s="18" t="n">
        <v>4</v>
      </c>
      <c r="C27" s="10" t="inlineStr">
        <is>
          <t>Portobello / Eliane / Portinari</t>
        </is>
      </c>
      <c r="D27" s="10" t="inlineStr">
        <is>
          <t>Nacional</t>
        </is>
      </c>
      <c r="E27" s="11" t="inlineStr">
        <is>
          <t>porcelanato externo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externo</t>
        </is>
      </c>
      <c r="B28" s="18" t="n">
        <v>5</v>
      </c>
      <c r="C28" s="10" t="inlineStr">
        <is>
          <t>Fabricantes de WPC (deck coextrudado)</t>
        </is>
      </c>
      <c r="D28" s="10" t="inlineStr">
        <is>
          <t>Nacional</t>
        </is>
      </c>
      <c r="E28" s="11" t="inlineStr">
        <is>
          <t>deck de madeira plastica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estrutura</t>
        </is>
      </c>
      <c r="B29" s="18" t="n">
        <v>1</v>
      </c>
      <c r="C29" s="10" t="inlineStr">
        <is>
          <t>Tecnoframe</t>
        </is>
      </c>
      <c r="D29" s="36" t="inlineStr">
        <is>
          <t>Manaus/AM</t>
        </is>
      </c>
      <c r="E29" s="11" t="inlineStr">
        <is>
          <t>perfis LSF, fabricante com atuacao local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estrutura</t>
        </is>
      </c>
      <c r="B30" s="18" t="n">
        <v>2</v>
      </c>
      <c r="C30" s="10" t="inlineStr">
        <is>
          <t>Barbieri do Brasil</t>
        </is>
      </c>
      <c r="D30" s="10" t="inlineStr">
        <is>
          <t>Nacional</t>
        </is>
      </c>
      <c r="E30" s="11" t="inlineStr">
        <is>
          <t>perfis galvanizados LSF e drywall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estrutura</t>
        </is>
      </c>
      <c r="B31" s="18" t="n">
        <v>3</v>
      </c>
      <c r="C31" s="10" t="inlineStr">
        <is>
          <t>Multiperfil</t>
        </is>
      </c>
      <c r="D31" s="10" t="inlineStr">
        <is>
          <t>Nacional</t>
        </is>
      </c>
      <c r="E31" s="11" t="inlineStr">
        <is>
          <t>perfis LSF, venda por distribuidor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estrutura</t>
        </is>
      </c>
      <c r="B32" s="18" t="n">
        <v>4</v>
      </c>
      <c r="C32" s="10" t="inlineStr">
        <is>
          <t>Deville Kerr</t>
        </is>
      </c>
      <c r="D32" s="10" t="inlineStr">
        <is>
          <t>Nacional</t>
        </is>
      </c>
      <c r="E32" s="11" t="inlineStr">
        <is>
          <t>perfis LSF direto de fabrica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estrutura</t>
        </is>
      </c>
      <c r="B33" s="18" t="n">
        <v>5</v>
      </c>
      <c r="C33" s="10" t="inlineStr">
        <is>
          <t>Alge Steel / Alge Metalurgica</t>
        </is>
      </c>
      <c r="D33" s="10" t="inlineStr">
        <is>
          <t>Nacional</t>
        </is>
      </c>
      <c r="E33" s="11" t="inlineStr">
        <is>
          <t>perfis steel frame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10" t="inlineStr">
        <is>
          <t>estrutura</t>
        </is>
      </c>
      <c r="B34" s="18" t="n">
        <v>6</v>
      </c>
      <c r="C34" s="10" t="inlineStr">
        <is>
          <t>MPS Steel</t>
        </is>
      </c>
      <c r="D34" s="10" t="inlineStr">
        <is>
          <t>Nacional</t>
        </is>
      </c>
      <c r="E34" s="11" t="inlineStr">
        <is>
          <t>fabricacao e fornecimento de perfis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9" t="inlineStr">
        <is>
          <t>fachada</t>
        </is>
      </c>
      <c r="B35" s="18" t="n">
        <v>1</v>
      </c>
      <c r="C35" s="10" t="inlineStr">
        <is>
          <t>Metalurgica Aluminova</t>
        </is>
      </c>
      <c r="D35" s="36" t="inlineStr">
        <is>
          <t>Manaus/AM</t>
        </is>
      </c>
      <c r="E35" s="11" t="inlineStr">
        <is>
          <t>ripado e brise em aluminio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fachada</t>
        </is>
      </c>
      <c r="B36" s="18" t="n">
        <v>2</v>
      </c>
      <c r="C36" s="10" t="inlineStr">
        <is>
          <t>Alubrasil / Hydro</t>
        </is>
      </c>
      <c r="D36" s="10" t="inlineStr">
        <is>
          <t>Nacional</t>
        </is>
      </c>
      <c r="E36" s="11" t="inlineStr">
        <is>
          <t>perfil de aluminio extrudado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fachada</t>
        </is>
      </c>
      <c r="B37" s="18" t="n">
        <v>3</v>
      </c>
      <c r="C37" s="10" t="inlineStr">
        <is>
          <t>Fabricantes de brise movel</t>
        </is>
      </c>
      <c r="D37" s="10" t="inlineStr">
        <is>
          <t>Nacional</t>
        </is>
      </c>
      <c r="E37" s="11" t="inlineStr">
        <is>
          <t>mecanismo e guia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fachada</t>
        </is>
      </c>
      <c r="B38" s="18" t="n">
        <v>4</v>
      </c>
      <c r="C38" s="10" t="inlineStr">
        <is>
          <t>Serralherias de Manaus</t>
        </is>
      </c>
      <c r="D38" s="36" t="inlineStr">
        <is>
          <t>Manaus/AM</t>
        </is>
      </c>
      <c r="E38" s="11" t="inlineStr">
        <is>
          <t>montagem e fixacao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10" t="inlineStr">
        <is>
          <t>fachada</t>
        </is>
      </c>
      <c r="B39" s="18" t="n">
        <v>5</v>
      </c>
      <c r="C39" s="10" t="inlineStr">
        <is>
          <t>Esquadrias Alufynestra</t>
        </is>
      </c>
      <c r="D39" s="36" t="inlineStr">
        <is>
          <t>Manaus/AM</t>
        </is>
      </c>
      <c r="E39" s="11" t="inlineStr">
        <is>
          <t>perfis e acabamento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9" t="inlineStr">
        <is>
          <t>marcenaria</t>
        </is>
      </c>
      <c r="B40" s="18" t="n">
        <v>1</v>
      </c>
      <c r="C40" s="10" t="inlineStr">
        <is>
          <t>Marcenarias de Manaus</t>
        </is>
      </c>
      <c r="D40" s="36" t="inlineStr">
        <is>
          <t>Manaus/AM</t>
        </is>
      </c>
      <c r="E40" s="11" t="inlineStr">
        <is>
          <t>movel sob medida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marcenaria</t>
        </is>
      </c>
      <c r="B41" s="18" t="n">
        <v>2</v>
      </c>
      <c r="C41" s="10" t="inlineStr">
        <is>
          <t>Todeschini / Dell Anno</t>
        </is>
      </c>
      <c r="D41" s="10" t="inlineStr">
        <is>
          <t>Nacional</t>
        </is>
      </c>
      <c r="E41" s="11" t="inlineStr">
        <is>
          <t>movel planejado, rede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marcenaria</t>
        </is>
      </c>
      <c r="B42" s="18" t="n">
        <v>3</v>
      </c>
      <c r="C42" s="10" t="inlineStr">
        <is>
          <t>Italinea / Favorita</t>
        </is>
      </c>
      <c r="D42" s="10" t="inlineStr">
        <is>
          <t>Nacional</t>
        </is>
      </c>
      <c r="E42" s="11" t="inlineStr">
        <is>
          <t>movel planejado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marcenaria</t>
        </is>
      </c>
      <c r="B43" s="18" t="n">
        <v>4</v>
      </c>
      <c r="C43" s="10" t="inlineStr">
        <is>
          <t>Marmorarias de Manaus</t>
        </is>
      </c>
      <c r="D43" s="36" t="inlineStr">
        <is>
          <t>Manaus/AM</t>
        </is>
      </c>
      <c r="E43" s="11" t="inlineStr">
        <is>
          <t>tampo em quartzo e granito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10" t="inlineStr">
        <is>
          <t>marcenaria</t>
        </is>
      </c>
      <c r="B44" s="18" t="n">
        <v>5</v>
      </c>
      <c r="C44" s="10" t="inlineStr">
        <is>
          <t>Duratex / Guararapes</t>
        </is>
      </c>
      <c r="D44" s="10" t="inlineStr">
        <is>
          <t>Nacional</t>
        </is>
      </c>
      <c r="E44" s="11" t="inlineStr">
        <is>
          <t>MDF, fabricante de chapa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9" t="inlineStr">
        <is>
          <t>instalacao</t>
        </is>
      </c>
      <c r="B45" s="18" t="n">
        <v>1</v>
      </c>
      <c r="C45" s="10" t="inlineStr">
        <is>
          <t>Du Norte Comercio</t>
        </is>
      </c>
      <c r="D45" s="36" t="inlineStr">
        <is>
          <t>Manaus/AM</t>
        </is>
      </c>
      <c r="E45" s="11" t="inlineStr">
        <is>
          <t>tubo, conexao e eletroduto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instalacao</t>
        </is>
      </c>
      <c r="B46" s="18" t="n">
        <v>2</v>
      </c>
      <c r="C46" s="10" t="inlineStr">
        <is>
          <t>Tigre</t>
        </is>
      </c>
      <c r="D46" s="10" t="inlineStr">
        <is>
          <t>Nacional</t>
        </is>
      </c>
      <c r="E46" s="11" t="inlineStr">
        <is>
          <t>tubos e conexoes PVC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instalacao</t>
        </is>
      </c>
      <c r="B47" s="18" t="n">
        <v>3</v>
      </c>
      <c r="C47" s="10" t="inlineStr">
        <is>
          <t>Amanco / Wavin</t>
        </is>
      </c>
      <c r="D47" s="10" t="inlineStr">
        <is>
          <t>Nacional</t>
        </is>
      </c>
      <c r="E47" s="11" t="inlineStr">
        <is>
          <t>tubos e conexoes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instalacao</t>
        </is>
      </c>
      <c r="B48" s="18" t="n">
        <v>4</v>
      </c>
      <c r="C48" s="10" t="inlineStr">
        <is>
          <t>Prysmian / Cobrecom / Sil</t>
        </is>
      </c>
      <c r="D48" s="10" t="inlineStr">
        <is>
          <t>Nacional</t>
        </is>
      </c>
      <c r="E48" s="11" t="inlineStr">
        <is>
          <t>cabo de cobre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instalacao</t>
        </is>
      </c>
      <c r="B49" s="18" t="n">
        <v>5</v>
      </c>
      <c r="C49" s="10" t="inlineStr">
        <is>
          <t>Schneider / Siemens / Steck</t>
        </is>
      </c>
      <c r="D49" s="10" t="inlineStr">
        <is>
          <t>Nacional</t>
        </is>
      </c>
      <c r="E49" s="11" t="inlineStr">
        <is>
          <t>disjuntor e quadro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servico</t>
        </is>
      </c>
      <c r="B50" s="18" t="n">
        <v>1</v>
      </c>
      <c r="C50" s="10" t="inlineStr">
        <is>
          <t>Tecnoframe</t>
        </is>
      </c>
      <c r="D50" s="36" t="inlineStr">
        <is>
          <t>Manaus/AM</t>
        </is>
      </c>
      <c r="E50" s="11" t="inlineStr">
        <is>
          <t>fornecimento com montagem, praca local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servico</t>
        </is>
      </c>
      <c r="B51" s="18" t="n">
        <v>2</v>
      </c>
      <c r="C51" s="10" t="inlineStr">
        <is>
          <t>Barbieri do Brasil</t>
        </is>
      </c>
      <c r="D51" s="10" t="inlineStr">
        <is>
          <t>Nacional</t>
        </is>
      </c>
      <c r="E51" s="11" t="inlineStr">
        <is>
          <t>fornecimento; montagem por rede credenciada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servico</t>
        </is>
      </c>
      <c r="B52" s="18" t="n">
        <v>3</v>
      </c>
      <c r="C52" s="10" t="inlineStr">
        <is>
          <t>Naframe</t>
        </is>
      </c>
      <c r="D52" s="10" t="inlineStr">
        <is>
          <t>Nacional</t>
        </is>
      </c>
      <c r="E52" s="11" t="inlineStr">
        <is>
          <t>projeto, fornecimento e montagem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servico</t>
        </is>
      </c>
      <c r="B53" s="18" t="n">
        <v>4</v>
      </c>
      <c r="C53" s="10" t="inlineStr">
        <is>
          <t>MPS Steel</t>
        </is>
      </c>
      <c r="D53" s="10" t="inlineStr">
        <is>
          <t>Nacional</t>
        </is>
      </c>
      <c r="E53" s="11" t="inlineStr">
        <is>
          <t>fornecimento e montagem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servico</t>
        </is>
      </c>
      <c r="B54" s="18" t="n">
        <v>5</v>
      </c>
      <c r="C54" s="10" t="inlineStr">
        <is>
          <t>Alge Steel</t>
        </is>
      </c>
      <c r="D54" s="10" t="inlineStr">
        <is>
          <t>Nacional</t>
        </is>
      </c>
      <c r="E54" s="11" t="inlineStr">
        <is>
          <t>fornecimento; montagem por parceiro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equipamentos</t>
        </is>
      </c>
      <c r="B55" s="18" t="n">
        <v>1</v>
      </c>
      <c r="C55" s="10" t="inlineStr">
        <is>
          <t>Lojas de climatizacao de Manaus</t>
        </is>
      </c>
      <c r="D55" s="36" t="inlineStr">
        <is>
          <t>Manaus/AM</t>
        </is>
      </c>
      <c r="E55" s="11" t="inlineStr">
        <is>
          <t>split com instalacao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equipamentos</t>
        </is>
      </c>
      <c r="B56" s="18" t="n">
        <v>2</v>
      </c>
      <c r="C56" s="10" t="inlineStr">
        <is>
          <t>LG / Samsung / Daikin</t>
        </is>
      </c>
      <c r="D56" s="10" t="inlineStr">
        <is>
          <t>Nacional</t>
        </is>
      </c>
      <c r="E56" s="11" t="inlineStr">
        <is>
          <t>split inverter, fabricante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equipamentos</t>
        </is>
      </c>
      <c r="B57" s="18" t="n">
        <v>3</v>
      </c>
      <c r="C57" s="10" t="inlineStr">
        <is>
          <t>Midea / Elgin</t>
        </is>
      </c>
      <c r="D57" s="10" t="inlineStr">
        <is>
          <t>Nacional</t>
        </is>
      </c>
      <c r="E57" s="11" t="inlineStr">
        <is>
          <t>split inverter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equipamentos</t>
        </is>
      </c>
      <c r="B58" s="18" t="n">
        <v>4</v>
      </c>
      <c r="C58" s="10" t="inlineStr">
        <is>
          <t>Jacuzzi / Sodramar</t>
        </is>
      </c>
      <c r="D58" s="10" t="inlineStr">
        <is>
          <t>Nacional</t>
        </is>
      </c>
      <c r="E58" s="11" t="inlineStr">
        <is>
          <t>bomba e filtro de piscina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equipamentos</t>
        </is>
      </c>
      <c r="B59" s="18" t="n">
        <v>5</v>
      </c>
      <c r="C59" s="10" t="inlineStr">
        <is>
          <t>PPA / Garen / Rossi</t>
        </is>
      </c>
      <c r="D59" s="10" t="inlineStr">
        <is>
          <t>Nacional</t>
        </is>
      </c>
      <c r="E59" s="11" t="inlineStr">
        <is>
          <t>automatizador de portao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pintura</t>
        </is>
      </c>
      <c r="B60" s="18" t="n">
        <v>1</v>
      </c>
      <c r="C60" s="10" t="inlineStr">
        <is>
          <t>Empreiteiras de pintura de Manaus</t>
        </is>
      </c>
      <c r="D60" s="36" t="inlineStr">
        <is>
          <t>Manaus/AM</t>
        </is>
      </c>
      <c r="E60" s="11" t="inlineStr">
        <is>
          <t>material e mao de obra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pintura</t>
        </is>
      </c>
      <c r="B61" s="18" t="n">
        <v>2</v>
      </c>
      <c r="C61" s="10" t="inlineStr">
        <is>
          <t>Suvinil / BASF</t>
        </is>
      </c>
      <c r="D61" s="10" t="inlineStr">
        <is>
          <t>Nacional</t>
        </is>
      </c>
      <c r="E61" s="11" t="inlineStr">
        <is>
          <t>tinta, fabricante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pintura</t>
        </is>
      </c>
      <c r="B62" s="18" t="n">
        <v>3</v>
      </c>
      <c r="C62" s="10" t="inlineStr">
        <is>
          <t>Coral / AkzoNobel</t>
        </is>
      </c>
      <c r="D62" s="10" t="inlineStr">
        <is>
          <t>Nacional</t>
        </is>
      </c>
      <c r="E62" s="11" t="inlineStr">
        <is>
          <t>tinta, fabricante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pintura</t>
        </is>
      </c>
      <c r="B63" s="18" t="n">
        <v>4</v>
      </c>
      <c r="C63" s="10" t="inlineStr">
        <is>
          <t>Sherwin-Williams</t>
        </is>
      </c>
      <c r="D63" s="10" t="inlineStr">
        <is>
          <t>Nacional</t>
        </is>
      </c>
      <c r="E63" s="11" t="inlineStr">
        <is>
          <t>tinta, fabricante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pintura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tinta e material de pintura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loucas</t>
        </is>
      </c>
      <c r="B65" s="18" t="n">
        <v>1</v>
      </c>
      <c r="C65" s="10" t="inlineStr">
        <is>
          <t>Deca / Duratex</t>
        </is>
      </c>
      <c r="D65" s="10" t="inlineStr">
        <is>
          <t>Nacional</t>
        </is>
      </c>
      <c r="E65" s="11" t="inlineStr">
        <is>
          <t>louca e metal, fabricante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loucas</t>
        </is>
      </c>
      <c r="B66" s="18" t="n">
        <v>2</v>
      </c>
      <c r="C66" s="10" t="inlineStr">
        <is>
          <t>Docol</t>
        </is>
      </c>
      <c r="D66" s="10" t="inlineStr">
        <is>
          <t>Nacional</t>
        </is>
      </c>
      <c r="E66" s="11" t="inlineStr">
        <is>
          <t>metal sanitario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loucas</t>
        </is>
      </c>
      <c r="B67" s="18" t="n">
        <v>3</v>
      </c>
      <c r="C67" s="10" t="inlineStr">
        <is>
          <t>Roca / Celite</t>
        </is>
      </c>
      <c r="D67" s="10" t="inlineStr">
        <is>
          <t>Nacional</t>
        </is>
      </c>
      <c r="E67" s="11" t="inlineStr">
        <is>
          <t>louca sanitaria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loucas</t>
        </is>
      </c>
      <c r="B68" s="18" t="n">
        <v>4</v>
      </c>
      <c r="C68" s="10" t="inlineStr">
        <is>
          <t>Lojas de acabamento de Manaus</t>
        </is>
      </c>
      <c r="D68" s="36" t="inlineStr">
        <is>
          <t>Manaus/AM</t>
        </is>
      </c>
      <c r="E68" s="11" t="inlineStr">
        <is>
          <t>louca e metal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loucas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louca, metal e acessorio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cobertura</t>
        </is>
      </c>
      <c r="B70" s="18" t="n">
        <v>1</v>
      </c>
      <c r="C70" s="10" t="inlineStr">
        <is>
          <t>Kingspan Isoeste</t>
        </is>
      </c>
      <c r="D70" s="10" t="inlineStr">
        <is>
          <t>Nacional</t>
        </is>
      </c>
      <c r="E70" s="11" t="inlineStr">
        <is>
          <t>painel e telha PIR, fabricante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cobertura</t>
        </is>
      </c>
      <c r="B71" s="18" t="n">
        <v>2</v>
      </c>
      <c r="C71" s="10" t="inlineStr">
        <is>
          <t>Regional Telhas</t>
        </is>
      </c>
      <c r="D71" s="10" t="inlineStr">
        <is>
          <t>Nacional</t>
        </is>
      </c>
      <c r="E71" s="11" t="inlineStr">
        <is>
          <t>termoacustica RT PIR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cobertura</t>
        </is>
      </c>
      <c r="B72" s="18" t="n">
        <v>3</v>
      </c>
      <c r="C72" s="10" t="inlineStr">
        <is>
          <t>ThermoValle</t>
        </is>
      </c>
      <c r="D72" s="10" t="inlineStr">
        <is>
          <t>Nacional</t>
        </is>
      </c>
      <c r="E72" s="11" t="inlineStr">
        <is>
          <t>telha termoacustica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cobertura</t>
        </is>
      </c>
      <c r="B73" s="18" t="n">
        <v>4</v>
      </c>
      <c r="C73" s="10" t="inlineStr">
        <is>
          <t>Gravia</t>
        </is>
      </c>
      <c r="D73" s="10" t="inlineStr">
        <is>
          <t>Nacional</t>
        </is>
      </c>
      <c r="E73" s="11" t="inlineStr">
        <is>
          <t>telha termica com nucleo PIR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cobertura</t>
        </is>
      </c>
      <c r="B74" s="18" t="n">
        <v>5</v>
      </c>
      <c r="C74" s="10" t="inlineStr">
        <is>
          <t>Coberminas</t>
        </is>
      </c>
      <c r="D74" s="10" t="inlineStr">
        <is>
          <t>Nacional</t>
        </is>
      </c>
      <c r="E74" s="11" t="inlineStr">
        <is>
          <t>telhas termoacusticas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eletrica</t>
        </is>
      </c>
      <c r="B75" s="18" t="n">
        <v>1</v>
      </c>
      <c r="C75" s="10" t="inlineStr">
        <is>
          <t>Schneider / Pial Legrand</t>
        </is>
      </c>
      <c r="D75" s="10" t="inlineStr">
        <is>
          <t>Nacional</t>
        </is>
      </c>
      <c r="E75" s="11" t="inlineStr">
        <is>
          <t>tomada, interruptor e placa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eletrica</t>
        </is>
      </c>
      <c r="B76" s="18" t="n">
        <v>2</v>
      </c>
      <c r="C76" s="10" t="inlineStr">
        <is>
          <t>Steck</t>
        </is>
      </c>
      <c r="D76" s="10" t="inlineStr">
        <is>
          <t>Nacional</t>
        </is>
      </c>
      <c r="E76" s="11" t="inlineStr">
        <is>
          <t>dispositivos e quadros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eletrica</t>
        </is>
      </c>
      <c r="B77" s="18" t="n">
        <v>3</v>
      </c>
      <c r="C77" s="10" t="inlineStr">
        <is>
          <t>WEG</t>
        </is>
      </c>
      <c r="D77" s="10" t="inlineStr">
        <is>
          <t>Nacional</t>
        </is>
      </c>
      <c r="E77" s="11" t="inlineStr">
        <is>
          <t>disjuntor, DR e DPS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eletrica</t>
        </is>
      </c>
      <c r="B78" s="18" t="n">
        <v>4</v>
      </c>
      <c r="C78" s="10" t="inlineStr">
        <is>
          <t>Philips / Osram / Stella</t>
        </is>
      </c>
      <c r="D78" s="10" t="inlineStr">
        <is>
          <t>Nacional</t>
        </is>
      </c>
      <c r="E78" s="11" t="inlineStr">
        <is>
          <t>luminaria LED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eletrica</t>
        </is>
      </c>
      <c r="B79" s="18" t="n">
        <v>5</v>
      </c>
      <c r="C79" s="10" t="inlineStr">
        <is>
          <t>Distribuidores eletricos de Manaus</t>
        </is>
      </c>
      <c r="D79" s="36" t="inlineStr">
        <is>
          <t>Manaus/AM</t>
        </is>
      </c>
      <c r="E79" s="11" t="inlineStr">
        <is>
          <t>material eletrico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</t>
        </is>
      </c>
      <c r="B11" s="43" t="inlineStr">
        <is>
          <t>Certidao oficial do SU16 (CAMT, taxa de ocupacao, gabarito)</t>
        </is>
      </c>
      <c r="C11" s="11" t="inlineStr">
        <is>
          <t>Lei 1.838/2014</t>
        </is>
      </c>
      <c r="D11" s="18" t="inlineStr">
        <is>
          <t>obra</t>
        </is>
      </c>
      <c r="E11" s="11" t="inlineStr">
        <is>
          <t>Condiciona toda a implantacao</t>
        </is>
      </c>
    </row>
    <row r="12">
      <c r="A12" s="18" t="inlineStr">
        <is>
          <t>3</t>
        </is>
      </c>
      <c r="B12" s="43" t="inlineStr">
        <is>
          <t>Calculo estrutural do hibrido LSF + laminado, com ART</t>
        </is>
      </c>
      <c r="C12" s="11" t="inlineStr">
        <is>
          <t>NBR 8800 / 14762</t>
        </is>
      </c>
      <c r="D12" s="18" t="inlineStr">
        <is>
          <t>fabricacao</t>
        </is>
      </c>
      <c r="E12" s="11" t="inlineStr">
        <is>
          <t>Estrutura e balanco; inclui o apoio da caixa d'agua. O pre-dimensionamento por flecha nao substitui verificacao de flambagem lateral</t>
        </is>
      </c>
    </row>
    <row r="13">
      <c r="A13" s="18" t="inlineStr">
        <is>
          <t>6</t>
        </is>
      </c>
      <c r="B13" s="43" t="inlineStr">
        <is>
          <t>Regulamento especifico do condominio</t>
        </is>
      </c>
      <c r="C13" s="11" t="inlineStr">
        <is>
          <t>—</t>
        </is>
      </c>
      <c r="D13" s="18" t="inlineStr">
        <is>
          <t>obra</t>
        </is>
      </c>
      <c r="E13" s="11" t="inlineStr">
        <is>
          <t>Fachada, muros, recuos e especie vegetal</t>
        </is>
      </c>
    </row>
    <row r="14">
      <c r="A14" s="18" t="inlineStr">
        <is>
          <t>8</t>
        </is>
      </c>
      <c r="B14" s="43" t="inlineStr">
        <is>
          <t>Nesting codificado dos paineis LSF</t>
        </is>
      </c>
      <c r="C14" s="11" t="inlineStr">
        <is>
          <t>fabricante</t>
        </is>
      </c>
      <c r="D14" s="18" t="inlineStr">
        <is>
          <t>fabricacao</t>
        </is>
      </c>
      <c r="E14" s="11" t="inlineStr">
        <is>
          <t>A paginacao atual e de estudo, nao de corte</t>
        </is>
      </c>
    </row>
    <row r="15">
      <c r="A15" s="18" t="inlineStr">
        <is>
          <t>14</t>
        </is>
      </c>
      <c r="B15" s="43" t="inlineStr">
        <is>
          <t>Rota de conformidade termica da parede externa</t>
        </is>
      </c>
      <c r="C15" s="11" t="inlineStr">
        <is>
          <t>NBR 15220-3 (tabela da ZB8) x NBR 15575-4 (desempenho)</t>
        </is>
      </c>
      <c r="D15" s="18" t="inlineStr">
        <is>
          <t>aprovacao</t>
        </is>
      </c>
      <c r="E15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6">
      <c r="A16" s="18" t="inlineStr">
        <is>
          <t>12</t>
        </is>
      </c>
      <c r="B16" s="43" t="inlineStr">
        <is>
          <t>Cotacao dos materiais: 100 % dos precos sao (H)</t>
        </is>
      </c>
      <c r="C16" s="11" t="inlineStr">
        <is>
          <t>Lei 14.133 art. 23 (parametro de 3 propostas)</t>
        </is>
      </c>
      <c r="D16" s="18" t="inlineStr">
        <is>
          <t>contrato</t>
        </is>
      </c>
      <c r="E16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1021 peças · 499 barras de 6.000 mm · aproveitamento 87.2 % · perda 384.6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4441</v>
      </c>
      <c r="C5" s="45" t="n">
        <v>12</v>
      </c>
      <c r="D5" s="10" t="inlineStr">
        <is>
          <t>diagonal</t>
        </is>
      </c>
      <c r="E5" s="46" t="n">
        <v>1.06</v>
      </c>
      <c r="F5" s="14">
        <f>C5*E5</f>
        <v/>
      </c>
    </row>
    <row r="6">
      <c r="A6" s="10" t="inlineStr">
        <is>
          <t>Fita 38x0,80</t>
        </is>
      </c>
      <c r="B6" s="44" t="n">
        <v>3970</v>
      </c>
      <c r="C6" s="45" t="n">
        <v>2</v>
      </c>
      <c r="D6" s="10" t="inlineStr">
        <is>
          <t>diagonal</t>
        </is>
      </c>
      <c r="E6" s="46" t="n">
        <v>0.947</v>
      </c>
      <c r="F6" s="14">
        <f>C6*E6</f>
        <v/>
      </c>
    </row>
    <row r="7">
      <c r="A7" s="10" t="inlineStr">
        <is>
          <t>Fita 38x0,80</t>
        </is>
      </c>
      <c r="B7" s="44" t="n">
        <v>3538</v>
      </c>
      <c r="C7" s="45" t="n">
        <v>12</v>
      </c>
      <c r="D7" s="10" t="inlineStr">
        <is>
          <t>diagonal</t>
        </is>
      </c>
      <c r="E7" s="46" t="n">
        <v>0.844</v>
      </c>
      <c r="F7" s="14">
        <f>C7*E7</f>
        <v/>
      </c>
    </row>
    <row r="8">
      <c r="A8" s="10" t="inlineStr">
        <is>
          <t>Fita 38x0,80</t>
        </is>
      </c>
      <c r="B8" s="44" t="n">
        <v>3162</v>
      </c>
      <c r="C8" s="45" t="n">
        <v>2</v>
      </c>
      <c r="D8" s="10" t="inlineStr">
        <is>
          <t>diagonal</t>
        </is>
      </c>
      <c r="E8" s="46" t="n">
        <v>0.755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6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5400</v>
      </c>
      <c r="C11" s="45" t="n">
        <v>5</v>
      </c>
      <c r="D11" s="10" t="inlineStr">
        <is>
          <t>track, travamento</t>
        </is>
      </c>
      <c r="E11" s="46" t="n">
        <v>6.639</v>
      </c>
      <c r="F11" s="14">
        <f>C11*E11</f>
        <v/>
      </c>
    </row>
    <row r="12">
      <c r="A12" s="10" t="inlineStr">
        <is>
          <t>U 92x38x0,95</t>
        </is>
      </c>
      <c r="B12" s="44" t="n">
        <v>4800</v>
      </c>
      <c r="C12" s="45" t="n">
        <v>1</v>
      </c>
      <c r="D12" s="10" t="inlineStr">
        <is>
          <t>blocking</t>
        </is>
      </c>
      <c r="E12" s="46" t="n">
        <v>5.901</v>
      </c>
      <c r="F12" s="14">
        <f>C12*E12</f>
        <v/>
      </c>
    </row>
    <row r="13">
      <c r="A13" s="10" t="inlineStr">
        <is>
          <t>U 92x38x0,95</t>
        </is>
      </c>
      <c r="B13" s="44" t="n">
        <v>4200</v>
      </c>
      <c r="C13" s="45" t="n">
        <v>3</v>
      </c>
      <c r="D13" s="10" t="inlineStr">
        <is>
          <t>blocking, track</t>
        </is>
      </c>
      <c r="E13" s="46" t="n">
        <v>5.163</v>
      </c>
      <c r="F13" s="14">
        <f>C13*E13</f>
        <v/>
      </c>
    </row>
    <row r="14">
      <c r="A14" s="10" t="inlineStr">
        <is>
          <t>U 92x38x0,95</t>
        </is>
      </c>
      <c r="B14" s="44" t="n">
        <v>3600</v>
      </c>
      <c r="C14" s="45" t="n">
        <v>63</v>
      </c>
      <c r="D14" s="10" t="inlineStr">
        <is>
          <t>blocking, track</t>
        </is>
      </c>
      <c r="E14" s="46" t="n">
        <v>4.426</v>
      </c>
      <c r="F14" s="14">
        <f>C14*E14</f>
        <v/>
      </c>
    </row>
    <row r="15">
      <c r="A15" s="10" t="inlineStr">
        <is>
          <t>U 92x38x0,95</t>
        </is>
      </c>
      <c r="B15" s="44" t="n">
        <v>3000</v>
      </c>
      <c r="C15" s="45" t="n">
        <v>42</v>
      </c>
      <c r="D15" s="10" t="inlineStr">
        <is>
          <t>blocking, track</t>
        </is>
      </c>
      <c r="E15" s="46" t="n">
        <v>3.688</v>
      </c>
      <c r="F15" s="14">
        <f>C15*E15</f>
        <v/>
      </c>
    </row>
    <row r="16">
      <c r="A16" s="10" t="inlineStr">
        <is>
          <t>U 92x38x0,95</t>
        </is>
      </c>
      <c r="B16" s="44" t="n">
        <v>2400</v>
      </c>
      <c r="C16" s="45" t="n">
        <v>40</v>
      </c>
      <c r="D16" s="10" t="inlineStr">
        <is>
          <t>blocking, track</t>
        </is>
      </c>
      <c r="E16" s="46" t="n">
        <v>2.95</v>
      </c>
      <c r="F16" s="14">
        <f>C16*E16</f>
        <v/>
      </c>
    </row>
    <row r="17">
      <c r="A17" s="10" t="inlineStr">
        <is>
          <t>U 92x38x0,95</t>
        </is>
      </c>
      <c r="B17" s="44" t="n">
        <v>2000</v>
      </c>
      <c r="C17" s="45" t="n">
        <v>5</v>
      </c>
      <c r="D17" s="10" t="inlineStr">
        <is>
          <t>sill</t>
        </is>
      </c>
      <c r="E17" s="46" t="n">
        <v>2.459</v>
      </c>
      <c r="F17" s="14">
        <f>C17*E17</f>
        <v/>
      </c>
    </row>
    <row r="18">
      <c r="A18" s="10" t="inlineStr">
        <is>
          <t>U 92x38x0,95</t>
        </is>
      </c>
      <c r="B18" s="44" t="n">
        <v>1800</v>
      </c>
      <c r="C18" s="45" t="n">
        <v>16</v>
      </c>
      <c r="D18" s="10" t="inlineStr">
        <is>
          <t>blocking, track</t>
        </is>
      </c>
      <c r="E18" s="46" t="n">
        <v>2.213</v>
      </c>
      <c r="F18" s="14">
        <f>C18*E18</f>
        <v/>
      </c>
    </row>
    <row r="19">
      <c r="A19" s="10" t="inlineStr">
        <is>
          <t>U 92x38x0,95</t>
        </is>
      </c>
      <c r="B19" s="44" t="n">
        <v>1400</v>
      </c>
      <c r="C19" s="45" t="n">
        <v>8</v>
      </c>
      <c r="D19" s="10" t="inlineStr">
        <is>
          <t>sill</t>
        </is>
      </c>
      <c r="E19" s="46" t="n">
        <v>1.721</v>
      </c>
      <c r="F19" s="14">
        <f>C19*E19</f>
        <v/>
      </c>
    </row>
    <row r="20">
      <c r="A20" s="10" t="inlineStr">
        <is>
          <t>U 92x38x0,95</t>
        </is>
      </c>
      <c r="B20" s="44" t="n">
        <v>1200</v>
      </c>
      <c r="C20" s="45" t="n">
        <v>1</v>
      </c>
      <c r="D20" s="10" t="inlineStr">
        <is>
          <t>track</t>
        </is>
      </c>
      <c r="E20" s="46" t="n">
        <v>1.475</v>
      </c>
      <c r="F20" s="14">
        <f>C20*E20</f>
        <v/>
      </c>
    </row>
    <row r="21">
      <c r="A21" s="10" t="inlineStr">
        <is>
          <t>U 92x38x0,95</t>
        </is>
      </c>
      <c r="B21" s="44" t="n">
        <v>1000</v>
      </c>
      <c r="C21" s="45" t="n">
        <v>23</v>
      </c>
      <c r="D21" s="10" t="inlineStr">
        <is>
          <t>degrau, sill</t>
        </is>
      </c>
      <c r="E21" s="46" t="n">
        <v>1.229</v>
      </c>
      <c r="F21" s="14">
        <f>C21*E21</f>
        <v/>
      </c>
    </row>
    <row r="22">
      <c r="A22" s="10" t="inlineStr">
        <is>
          <t>U 92x38x0,95</t>
        </is>
      </c>
      <c r="B22" s="44" t="n">
        <v>800</v>
      </c>
      <c r="C22" s="45" t="n">
        <v>1</v>
      </c>
      <c r="D22" s="10" t="inlineStr">
        <is>
          <t>sill</t>
        </is>
      </c>
      <c r="E22" s="46" t="n">
        <v>0.983</v>
      </c>
      <c r="F22" s="14">
        <f>C22*E22</f>
        <v/>
      </c>
    </row>
    <row r="23">
      <c r="A23" s="10" t="inlineStr">
        <is>
          <t>U 92x38x0,95</t>
        </is>
      </c>
      <c r="B23" s="44" t="n">
        <v>600</v>
      </c>
      <c r="C23" s="45" t="n">
        <v>18</v>
      </c>
      <c r="D23" s="10" t="inlineStr">
        <is>
          <t>blocking, track</t>
        </is>
      </c>
      <c r="E23" s="46" t="n">
        <v>0.738</v>
      </c>
      <c r="F23" s="14">
        <f>C23*E23</f>
        <v/>
      </c>
    </row>
    <row r="24">
      <c r="A24" s="10" t="inlineStr">
        <is>
          <t>Ue 140x40x12x0,80</t>
        </is>
      </c>
      <c r="B24" s="44" t="n">
        <v>6000</v>
      </c>
      <c r="C24" s="45" t="n">
        <v>2</v>
      </c>
      <c r="D24" s="10" t="inlineStr">
        <is>
          <t>viga de borda</t>
        </is>
      </c>
      <c r="E24" s="46" t="n">
        <v>9.023999999999999</v>
      </c>
      <c r="F24" s="14">
        <f>C24*E24</f>
        <v/>
      </c>
    </row>
    <row r="25">
      <c r="A25" s="10" t="inlineStr">
        <is>
          <t>Ue 140x40x12x0,80</t>
        </is>
      </c>
      <c r="B25" s="44" t="n">
        <v>4800</v>
      </c>
      <c r="C25" s="45" t="n">
        <v>2</v>
      </c>
      <c r="D25" s="10" t="inlineStr">
        <is>
          <t>viga de borda</t>
        </is>
      </c>
      <c r="E25" s="46" t="n">
        <v>7.219</v>
      </c>
      <c r="F25" s="14">
        <f>C25*E25</f>
        <v/>
      </c>
    </row>
    <row r="26">
      <c r="A26" s="10" t="inlineStr">
        <is>
          <t>Ue 140x40x12x0,80</t>
        </is>
      </c>
      <c r="B26" s="44" t="n">
        <v>3600</v>
      </c>
      <c r="C26" s="45" t="n">
        <v>2</v>
      </c>
      <c r="D26" s="10" t="inlineStr">
        <is>
          <t>viga de borda</t>
        </is>
      </c>
      <c r="E26" s="46" t="n">
        <v>5.414</v>
      </c>
      <c r="F26" s="14">
        <f>C26*E26</f>
        <v/>
      </c>
    </row>
    <row r="27">
      <c r="A27" s="10" t="inlineStr">
        <is>
          <t>Ue 140x40x12x0,80</t>
        </is>
      </c>
      <c r="B27" s="44" t="n">
        <v>3000</v>
      </c>
      <c r="C27" s="45" t="n">
        <v>13</v>
      </c>
      <c r="D27" s="10" t="inlineStr">
        <is>
          <t>viga, viga de borda</t>
        </is>
      </c>
      <c r="E27" s="46" t="n">
        <v>4.512</v>
      </c>
      <c r="F27" s="14">
        <f>C27*E27</f>
        <v/>
      </c>
    </row>
    <row r="28">
      <c r="A28" s="10" t="inlineStr">
        <is>
          <t>Ue 140x40x12x0,80</t>
        </is>
      </c>
      <c r="B28" s="44" t="n">
        <v>2400</v>
      </c>
      <c r="C28" s="45" t="n">
        <v>15</v>
      </c>
      <c r="D28" s="10" t="inlineStr">
        <is>
          <t>viga</t>
        </is>
      </c>
      <c r="E28" s="46" t="n">
        <v>3.61</v>
      </c>
      <c r="F28" s="14">
        <f>C28*E28</f>
        <v/>
      </c>
    </row>
    <row r="29">
      <c r="A29" s="10" t="inlineStr">
        <is>
          <t>Ue 140x40x12x0,80</t>
        </is>
      </c>
      <c r="B29" s="44" t="n">
        <v>1800</v>
      </c>
      <c r="C29" s="45" t="n">
        <v>19</v>
      </c>
      <c r="D29" s="10" t="inlineStr">
        <is>
          <t>viga, viga de borda</t>
        </is>
      </c>
      <c r="E29" s="46" t="n">
        <v>2.707</v>
      </c>
      <c r="F29" s="14">
        <f>C29*E29</f>
        <v/>
      </c>
    </row>
    <row r="30">
      <c r="A30" s="10" t="inlineStr">
        <is>
          <t>Ue 140x40x12x1,25</t>
        </is>
      </c>
      <c r="B30" s="44" t="n">
        <v>4800</v>
      </c>
      <c r="C30" s="45" t="n">
        <v>2</v>
      </c>
      <c r="D30" s="10" t="inlineStr">
        <is>
          <t>viga de borda</t>
        </is>
      </c>
      <c r="E30" s="46" t="n">
        <v>11.109</v>
      </c>
      <c r="F30" s="14">
        <f>C30*E30</f>
        <v/>
      </c>
    </row>
    <row r="31">
      <c r="A31" s="10" t="inlineStr">
        <is>
          <t>Ue 140x40x12x1,25</t>
        </is>
      </c>
      <c r="B31" s="44" t="n">
        <v>3000</v>
      </c>
      <c r="C31" s="45" t="n">
        <v>2</v>
      </c>
      <c r="D31" s="10" t="inlineStr">
        <is>
          <t>viga de borda</t>
        </is>
      </c>
      <c r="E31" s="46" t="n">
        <v>6.943</v>
      </c>
      <c r="F31" s="14">
        <f>C31*E31</f>
        <v/>
      </c>
    </row>
    <row r="32">
      <c r="A32" s="10" t="inlineStr">
        <is>
          <t>Ue 140x40x12x1,25</t>
        </is>
      </c>
      <c r="B32" s="44" t="n">
        <v>2400</v>
      </c>
      <c r="C32" s="45" t="n">
        <v>15</v>
      </c>
      <c r="D32" s="10" t="inlineStr">
        <is>
          <t>viga</t>
        </is>
      </c>
      <c r="E32" s="46" t="n">
        <v>5.554</v>
      </c>
      <c r="F32" s="14">
        <f>C32*E32</f>
        <v/>
      </c>
    </row>
    <row r="33">
      <c r="A33" s="10" t="inlineStr">
        <is>
          <t>Ue 200x40x12x0,95</t>
        </is>
      </c>
      <c r="B33" s="44" t="n">
        <v>5400</v>
      </c>
      <c r="C33" s="45" t="n">
        <v>4</v>
      </c>
      <c r="D33" s="10" t="inlineStr">
        <is>
          <t>viga de borda</t>
        </is>
      </c>
      <c r="E33" s="46" t="n">
        <v>12.027</v>
      </c>
      <c r="F33" s="14">
        <f>C33*E33</f>
        <v/>
      </c>
    </row>
    <row r="34">
      <c r="A34" s="10" t="inlineStr">
        <is>
          <t>Ue 200x40x12x0,95</t>
        </is>
      </c>
      <c r="B34" s="44" t="n">
        <v>4800</v>
      </c>
      <c r="C34" s="45" t="n">
        <v>20</v>
      </c>
      <c r="D34" s="10" t="inlineStr">
        <is>
          <t>viga</t>
        </is>
      </c>
      <c r="E34" s="46" t="n">
        <v>10.69</v>
      </c>
      <c r="F34" s="14">
        <f>C34*E34</f>
        <v/>
      </c>
    </row>
    <row r="35">
      <c r="A35" s="10" t="inlineStr">
        <is>
          <t>Ue 200x40x12x1,25</t>
        </is>
      </c>
      <c r="B35" s="44" t="n">
        <v>7800</v>
      </c>
      <c r="C35" s="45" t="n">
        <v>2</v>
      </c>
      <c r="D35" s="10" t="inlineStr">
        <is>
          <t>viga de borda</t>
        </is>
      </c>
      <c r="E35" s="46" t="n">
        <v>22.644</v>
      </c>
      <c r="F35" s="14">
        <f>C35*E35</f>
        <v/>
      </c>
    </row>
    <row r="36">
      <c r="A36" s="10" t="inlineStr">
        <is>
          <t>Ue 200x40x12x1,25</t>
        </is>
      </c>
      <c r="B36" s="44" t="n">
        <v>6000</v>
      </c>
      <c r="C36" s="45" t="n">
        <v>27</v>
      </c>
      <c r="D36" s="10" t="inlineStr">
        <is>
          <t>viga, viga de borda</t>
        </is>
      </c>
      <c r="E36" s="46" t="n">
        <v>17.419</v>
      </c>
      <c r="F36" s="14">
        <f>C36*E36</f>
        <v/>
      </c>
    </row>
    <row r="37">
      <c r="A37" s="10" t="inlineStr">
        <is>
          <t>Ue 200x40x12x1,25</t>
        </is>
      </c>
      <c r="B37" s="44" t="n">
        <v>2830</v>
      </c>
      <c r="C37" s="45" t="n">
        <v>4</v>
      </c>
      <c r="D37" s="10" t="inlineStr">
        <is>
          <t>viga de escada</t>
        </is>
      </c>
      <c r="E37" s="46" t="n">
        <v>8.215999999999999</v>
      </c>
      <c r="F37" s="14">
        <f>C37*E37</f>
        <v/>
      </c>
    </row>
    <row r="38">
      <c r="A38" s="10" t="inlineStr">
        <is>
          <t>Ue 250x40x12x2,25</t>
        </is>
      </c>
      <c r="B38" s="44" t="n">
        <v>5400</v>
      </c>
      <c r="C38" s="45" t="n">
        <v>4</v>
      </c>
      <c r="D38" s="10" t="inlineStr">
        <is>
          <t>viga de borda</t>
        </is>
      </c>
      <c r="E38" s="46" t="n">
        <v>32.366</v>
      </c>
      <c r="F38" s="14">
        <f>C38*E38</f>
        <v/>
      </c>
    </row>
    <row r="39">
      <c r="A39" s="10" t="inlineStr">
        <is>
          <t>Ue 250x40x12x2,25</t>
        </is>
      </c>
      <c r="B39" s="44" t="n">
        <v>4800</v>
      </c>
      <c r="C39" s="45" t="n">
        <v>20</v>
      </c>
      <c r="D39" s="10" t="inlineStr">
        <is>
          <t>viga</t>
        </is>
      </c>
      <c r="E39" s="46" t="n">
        <v>28.77</v>
      </c>
      <c r="F39" s="14">
        <f>C39*E39</f>
        <v/>
      </c>
    </row>
    <row r="40">
      <c r="A40" s="10" t="inlineStr">
        <is>
          <t>Ue 250x40x15x3,00</t>
        </is>
      </c>
      <c r="B40" s="44" t="n">
        <v>7800</v>
      </c>
      <c r="C40" s="45" t="n">
        <v>2</v>
      </c>
      <c r="D40" s="10" t="inlineStr">
        <is>
          <t>viga de borda</t>
        </is>
      </c>
      <c r="E40" s="46" t="n">
        <v>62.539</v>
      </c>
      <c r="F40" s="14">
        <f>C40*E40</f>
        <v/>
      </c>
    </row>
    <row r="41">
      <c r="A41" s="10" t="inlineStr">
        <is>
          <t>Ue 250x40x15x3,00</t>
        </is>
      </c>
      <c r="B41" s="44" t="n">
        <v>6000</v>
      </c>
      <c r="C41" s="45" t="n">
        <v>20</v>
      </c>
      <c r="D41" s="10" t="inlineStr">
        <is>
          <t>viga</t>
        </is>
      </c>
      <c r="E41" s="46" t="n">
        <v>48.107</v>
      </c>
      <c r="F41" s="14">
        <f>C41*E41</f>
        <v/>
      </c>
    </row>
    <row r="42">
      <c r="A42" s="10" t="inlineStr">
        <is>
          <t>Ue 90x40x12x0,95</t>
        </is>
      </c>
      <c r="B42" s="44" t="n">
        <v>2600</v>
      </c>
      <c r="C42" s="45" t="n">
        <v>327</v>
      </c>
      <c r="D42" s="10" t="inlineStr">
        <is>
          <t>jack stud, king stud, stud</t>
        </is>
      </c>
      <c r="E42" s="46" t="n">
        <v>3.658</v>
      </c>
      <c r="F42" s="14">
        <f>C42*E42</f>
        <v/>
      </c>
    </row>
    <row r="43">
      <c r="A43" s="10" t="inlineStr">
        <is>
          <t>Ue 90x40x12x0,95</t>
        </is>
      </c>
      <c r="B43" s="44" t="n">
        <v>2400</v>
      </c>
      <c r="C43" s="45" t="n">
        <v>20</v>
      </c>
      <c r="D43" s="10" t="inlineStr">
        <is>
          <t>jack stud</t>
        </is>
      </c>
      <c r="E43" s="46" t="n">
        <v>3.376</v>
      </c>
      <c r="F43" s="14">
        <f>C43*E43</f>
        <v/>
      </c>
    </row>
    <row r="44">
      <c r="A44" s="10" t="inlineStr">
        <is>
          <t>Ue 90x40x12x0,95</t>
        </is>
      </c>
      <c r="B44" s="44" t="n">
        <v>2300</v>
      </c>
      <c r="C44" s="45" t="n">
        <v>26</v>
      </c>
      <c r="D44" s="10" t="inlineStr">
        <is>
          <t>jack stud</t>
        </is>
      </c>
      <c r="E44" s="46" t="n">
        <v>3.236</v>
      </c>
      <c r="F44" s="14">
        <f>C44*E44</f>
        <v/>
      </c>
    </row>
    <row r="45">
      <c r="A45" s="10" t="inlineStr">
        <is>
          <t>Ue 90x40x12x0,95</t>
        </is>
      </c>
      <c r="B45" s="44" t="n">
        <v>2100</v>
      </c>
      <c r="C45" s="45" t="n">
        <v>24</v>
      </c>
      <c r="D45" s="10" t="inlineStr">
        <is>
          <t>jack stud</t>
        </is>
      </c>
      <c r="E45" s="46" t="n">
        <v>2.954</v>
      </c>
      <c r="F45" s="14">
        <f>C45*E45</f>
        <v/>
      </c>
    </row>
    <row r="46">
      <c r="A46" s="10" t="inlineStr">
        <is>
          <t>Ue 90x40x12x0,95</t>
        </is>
      </c>
      <c r="B46" s="44" t="n">
        <v>1408</v>
      </c>
      <c r="C46" s="45" t="n">
        <v>8</v>
      </c>
      <c r="D46" s="10" t="inlineStr">
        <is>
          <t>cripple inferior</t>
        </is>
      </c>
      <c r="E46" s="46" t="n">
        <v>1.981</v>
      </c>
      <c r="F46" s="14">
        <f>C46*E46</f>
        <v/>
      </c>
    </row>
    <row r="47">
      <c r="A47" s="10" t="inlineStr">
        <is>
          <t>Ue 90x40x12x0,95</t>
        </is>
      </c>
      <c r="B47" s="44" t="n">
        <v>1008</v>
      </c>
      <c r="C47" s="45" t="n">
        <v>39</v>
      </c>
      <c r="D47" s="10" t="inlineStr">
        <is>
          <t>cripple inferior</t>
        </is>
      </c>
      <c r="E47" s="46" t="n">
        <v>1.418</v>
      </c>
      <c r="F47" s="14">
        <f>C47*E47</f>
        <v/>
      </c>
    </row>
    <row r="48">
      <c r="A48" s="10" t="inlineStr">
        <is>
          <t>Ue 90x40x12x0,95</t>
        </is>
      </c>
      <c r="B48" s="44" t="n">
        <v>410</v>
      </c>
      <c r="C48" s="45" t="n">
        <v>18</v>
      </c>
      <c r="D48" s="10" t="inlineStr">
        <is>
          <t>cripple superior</t>
        </is>
      </c>
      <c r="E48" s="46" t="n">
        <v>0.577</v>
      </c>
      <c r="F48" s="14">
        <f>C48*E48</f>
        <v/>
      </c>
    </row>
    <row r="49">
      <c r="A49" s="10" t="inlineStr">
        <is>
          <t>Ue 90x40x12x0,95</t>
        </is>
      </c>
      <c r="B49" s="44" t="n">
        <v>210</v>
      </c>
      <c r="C49" s="45" t="n">
        <v>39</v>
      </c>
      <c r="D49" s="10" t="inlineStr">
        <is>
          <t>cripple superior</t>
        </is>
      </c>
      <c r="E49" s="46" t="n">
        <v>0.295</v>
      </c>
      <c r="F49" s="14">
        <f>C49*E49</f>
        <v/>
      </c>
    </row>
    <row r="50">
      <c r="A50" s="10" t="inlineStr">
        <is>
          <t>Ue 90x40x12x0,95</t>
        </is>
      </c>
      <c r="B50" s="44" t="n">
        <v>110</v>
      </c>
      <c r="C50" s="45" t="n">
        <v>34</v>
      </c>
      <c r="D50" s="10" t="inlineStr">
        <is>
          <t>cripple superior</t>
        </is>
      </c>
      <c r="E50" s="46" t="n">
        <v>0.155</v>
      </c>
      <c r="F50" s="14">
        <f>C50*E50</f>
        <v/>
      </c>
    </row>
    <row r="51">
      <c r="A51" s="10" t="inlineStr">
        <is>
          <t>Ue 90x40x12x1,25</t>
        </is>
      </c>
      <c r="B51" s="44" t="n">
        <v>5600</v>
      </c>
      <c r="C51" s="45" t="n">
        <v>1</v>
      </c>
      <c r="D51" s="10" t="inlineStr">
        <is>
          <t>header</t>
        </is>
      </c>
      <c r="E51" s="46" t="n">
        <v>10.213</v>
      </c>
      <c r="F51" s="14">
        <f>C51*E51</f>
        <v/>
      </c>
    </row>
    <row r="52">
      <c r="A52" s="10" t="inlineStr">
        <is>
          <t>Ue 90x40x12x1,25</t>
        </is>
      </c>
      <c r="B52" s="44" t="n">
        <v>2600</v>
      </c>
      <c r="C52" s="45" t="n">
        <v>11</v>
      </c>
      <c r="D52" s="10" t="inlineStr">
        <is>
          <t>header, jack stud, king stud</t>
        </is>
      </c>
      <c r="E52" s="46" t="n">
        <v>4.742</v>
      </c>
      <c r="F52" s="14">
        <f>C52*E52</f>
        <v/>
      </c>
    </row>
    <row r="53">
      <c r="A53" s="10" t="inlineStr">
        <is>
          <t>Ue 90x40x12x1,25</t>
        </is>
      </c>
      <c r="B53" s="44" t="n">
        <v>2500</v>
      </c>
      <c r="C53" s="45" t="n">
        <v>1</v>
      </c>
      <c r="D53" s="10" t="inlineStr">
        <is>
          <t>header</t>
        </is>
      </c>
      <c r="E53" s="46" t="n">
        <v>4.559</v>
      </c>
      <c r="F53" s="14">
        <f>C53*E53</f>
        <v/>
      </c>
    </row>
    <row r="54">
      <c r="A54" s="10" t="inlineStr">
        <is>
          <t>Ue 90x40x12x1,25</t>
        </is>
      </c>
      <c r="B54" s="44" t="n">
        <v>2100</v>
      </c>
      <c r="C54" s="45" t="n">
        <v>4</v>
      </c>
      <c r="D54" s="10" t="inlineStr">
        <is>
          <t>jack stud</t>
        </is>
      </c>
      <c r="E54" s="46" t="n">
        <v>3.83</v>
      </c>
      <c r="F54" s="14">
        <f>C54*E54</f>
        <v/>
      </c>
    </row>
    <row r="55">
      <c r="A55" s="10" t="inlineStr">
        <is>
          <t>Ue 90x40x12x1,25</t>
        </is>
      </c>
      <c r="B55" s="44" t="n">
        <v>2000</v>
      </c>
      <c r="C55" s="45" t="n">
        <v>5</v>
      </c>
      <c r="D55" s="10" t="inlineStr">
        <is>
          <t>header</t>
        </is>
      </c>
      <c r="E55" s="46" t="n">
        <v>3.647</v>
      </c>
      <c r="F55" s="14">
        <f>C55*E55</f>
        <v/>
      </c>
    </row>
    <row r="56">
      <c r="A56" s="10" t="inlineStr">
        <is>
          <t>Ue 90x40x12x1,25</t>
        </is>
      </c>
      <c r="B56" s="44" t="n">
        <v>1400</v>
      </c>
      <c r="C56" s="45" t="n">
        <v>8</v>
      </c>
      <c r="D56" s="10" t="inlineStr">
        <is>
          <t>header</t>
        </is>
      </c>
      <c r="E56" s="46" t="n">
        <v>2.553</v>
      </c>
      <c r="F56" s="14">
        <f>C56*E56</f>
        <v/>
      </c>
    </row>
    <row r="57">
      <c r="A57" s="10" t="inlineStr">
        <is>
          <t>Ue 90x40x12x1,25</t>
        </is>
      </c>
      <c r="B57" s="44" t="n">
        <v>1100</v>
      </c>
      <c r="C57" s="45" t="n">
        <v>13</v>
      </c>
      <c r="D57" s="10" t="inlineStr">
        <is>
          <t>header</t>
        </is>
      </c>
      <c r="E57" s="46" t="n">
        <v>2.006</v>
      </c>
      <c r="F57" s="14">
        <f>C57*E57</f>
        <v/>
      </c>
    </row>
    <row r="58">
      <c r="A58" s="10" t="inlineStr">
        <is>
          <t>Ue 90x40x12x1,25</t>
        </is>
      </c>
      <c r="B58" s="44" t="n">
        <v>1000</v>
      </c>
      <c r="C58" s="45" t="n">
        <v>5</v>
      </c>
      <c r="D58" s="10" t="inlineStr">
        <is>
          <t>header</t>
        </is>
      </c>
      <c r="E58" s="46" t="n">
        <v>1.824</v>
      </c>
      <c r="F58" s="14">
        <f>C58*E58</f>
        <v/>
      </c>
    </row>
    <row r="59">
      <c r="A59" s="10" t="inlineStr">
        <is>
          <t>Ue 90x40x12x1,25</t>
        </is>
      </c>
      <c r="B59" s="44" t="n">
        <v>800</v>
      </c>
      <c r="C59" s="45" t="n">
        <v>1</v>
      </c>
      <c r="D59" s="10" t="inlineStr">
        <is>
          <t>header</t>
        </is>
      </c>
      <c r="E59" s="46" t="n">
        <v>1.459</v>
      </c>
      <c r="F59" s="14">
        <f>C59*E59</f>
        <v/>
      </c>
    </row>
    <row r="60">
      <c r="A60" s="22" t="n"/>
      <c r="B60" s="22" t="n"/>
      <c r="C60" s="28">
        <f>SUM(C5:C59)</f>
        <v/>
      </c>
      <c r="D60" s="47" t="inlineStr">
        <is>
          <t>TOTAL</t>
        </is>
      </c>
      <c r="E60" s="22" t="n"/>
      <c r="F60" s="48">
        <f>SUM(F5:F59)</f>
        <v/>
      </c>
    </row>
    <row r="62">
      <c r="A62" s="3" t="inlineStr">
        <is>
          <t>BARRAS POR PERFIL</t>
        </is>
      </c>
    </row>
    <row r="63">
      <c r="A63" s="26" t="inlineStr">
        <is>
          <t>PERFIL</t>
        </is>
      </c>
      <c r="B63" s="26" t="inlineStr">
        <is>
          <t>BARRAS DE 6.000 mm</t>
        </is>
      </c>
      <c r="C63" s="26" t="inlineStr">
        <is>
          <t>PEÇAS CORTADAS</t>
        </is>
      </c>
    </row>
    <row r="64">
      <c r="A64" s="10" t="inlineStr">
        <is>
          <t>Fita 38x0,80</t>
        </is>
      </c>
      <c r="B64" s="45" t="n">
        <v>28</v>
      </c>
      <c r="C64" s="18" t="n">
        <v>28</v>
      </c>
    </row>
    <row r="65">
      <c r="A65" s="10" t="inlineStr">
        <is>
          <t>U 92x38x0,95</t>
        </is>
      </c>
      <c r="B65" s="45" t="n">
        <v>120</v>
      </c>
      <c r="C65" s="18" t="n">
        <v>234</v>
      </c>
    </row>
    <row r="66">
      <c r="A66" s="10" t="inlineStr">
        <is>
          <t>Ue 140x40x12x0,80</t>
        </is>
      </c>
      <c r="B66" s="45" t="n">
        <v>26</v>
      </c>
      <c r="C66" s="18" t="n">
        <v>53</v>
      </c>
    </row>
    <row r="67">
      <c r="A67" s="10" t="inlineStr">
        <is>
          <t>Ue 140x40x12x1,25</t>
        </is>
      </c>
      <c r="B67" s="45" t="n">
        <v>11</v>
      </c>
      <c r="C67" s="18" t="n">
        <v>19</v>
      </c>
    </row>
    <row r="68">
      <c r="A68" s="10" t="inlineStr">
        <is>
          <t>Ue 200x40x12x0,95</t>
        </is>
      </c>
      <c r="B68" s="45" t="n">
        <v>24</v>
      </c>
      <c r="C68" s="18" t="n">
        <v>24</v>
      </c>
    </row>
    <row r="69">
      <c r="A69" s="10" t="inlineStr">
        <is>
          <t>Ue 200x40x12x1,25</t>
        </is>
      </c>
      <c r="B69" s="45" t="n">
        <v>29</v>
      </c>
      <c r="C69" s="18" t="n">
        <v>33</v>
      </c>
    </row>
    <row r="70">
      <c r="A70" s="10" t="inlineStr">
        <is>
          <t>Ue 250x40x12x2,25</t>
        </is>
      </c>
      <c r="B70" s="45" t="n">
        <v>24</v>
      </c>
      <c r="C70" s="18" t="n">
        <v>24</v>
      </c>
    </row>
    <row r="71">
      <c r="A71" s="10" t="inlineStr">
        <is>
          <t>Ue 250x40x15x3,00</t>
        </is>
      </c>
      <c r="B71" s="45" t="n">
        <v>20</v>
      </c>
      <c r="C71" s="18" t="n">
        <v>22</v>
      </c>
    </row>
    <row r="72">
      <c r="A72" s="10" t="inlineStr">
        <is>
          <t>Ue 90x40x12x0,95</t>
        </is>
      </c>
      <c r="B72" s="45" t="n">
        <v>201</v>
      </c>
      <c r="C72" s="18" t="n">
        <v>535</v>
      </c>
    </row>
    <row r="73">
      <c r="A73" s="10" t="inlineStr">
        <is>
          <t>Ue 90x40x12x1,25</t>
        </is>
      </c>
      <c r="B73" s="45" t="n">
        <v>16</v>
      </c>
      <c r="C73" s="18" t="n">
        <v>49</v>
      </c>
    </row>
    <row r="75">
      <c r="A75" s="2" t="inlineStr">
        <is>
          <t>Esta lista NÃO substitui o nesting codificado do fabricante (pendência 8): ela é de estudo, e o fabricante corta pela dele.</t>
        </is>
      </c>
    </row>
  </sheetData>
  <autoFilter ref="A4:F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2026-09-20T23:43:55Z</dcterms:created>
  <dcterms:modified xsi:type="dcterms:W3CDTF">2026-09-20T23:43:55Z</dcterms:modified>
</cp:coreProperties>
</file>