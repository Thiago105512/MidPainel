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'COTAÇÃO'!$A$3:$V$200</definedName>
    <definedName name="_xlnm._FilterDatabase" localSheetId="3" hidden="1">'ESPECIFICAÇÕES'!$A$3:$I$200</definedName>
    <definedName name="_xlnm._FilterDatabase" localSheetId="7" hidden="1">'PEÇAS E CORTE'!$A$4:$F$70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(11.1 %)
NORMAS: NBR 14762, NBR 15253, NBR 7008</t>
      </text>
    </comment>
    <comment ref="C11" authorId="0" shapeId="0">
      <text>
        <t>Chapa de gesso; chapa 1200 x 2400 mm; espessura 12.5 mm
NORMAS: NBR 14715</t>
      </text>
    </comment>
    <comment ref="C12" authorId="0" shapeId="0">
      <text>
        <t>Painel sandwich PIR; chapa 1000 x 12000 mm; espessura 75 mm
NORMAS: NBR 16373</t>
      </text>
    </comment>
    <comment ref="C13" authorId="0" shapeId="0">
      <text>
        <t>Placa cimenticia; chapa 1200 x 2400 mm; espessura 10 mm
NORMAS: NBR 15498</t>
      </text>
    </comment>
    <comment ref="C14" authorId="0" shapeId="0">
      <text>
        <t>La de rocha; chapa 1200 x 25000 mm; espessura 50 mm
NORMAS: NBR 11722</t>
      </text>
    </comment>
    <comment ref="C15" authorId="0" shapeId="0">
      <text>
        <t>XPS; chapa 600 x 1250 mm; espessura 20 mm
NORMAS: NBR 11752</t>
      </text>
    </comment>
    <comment ref="C16" authorId="0" shapeId="0">
      <text>
        <t>chapa dobrada / manta conforme descricao
NORMAS: NBR 10844, NBR 9575</t>
      </text>
    </comment>
    <comment ref="C17" authorId="0" shapeId="0">
      <text>
        <t>OSB estrutural; chapa 1220 x 2440 mm; espessura 18 mm
NORMAS: NBR 14810 / EN 300</t>
      </text>
    </comment>
    <comment ref="C18" authorId="0" shapeId="0">
      <text>
        <t>cantoneira de canto e arremate
NORMAS: NBR 15758</t>
      </text>
    </comment>
    <comment ref="C19" authorId="0" shapeId="0">
      <text>
        <t>La de vidro; chapa 1200 x 25000 mm; espessura 50 mm
NORMAS: NBR 11722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22" authorId="0" shapeId="0">
      <text>
        <t>perfilaria de forro em aco galvanizado, malha 600 x 1.200, pendural regulavel; tabica perimetral de sombra
NORMAS: NBR 15758-2</t>
      </text>
    </comment>
    <comment ref="C23" authorId="0" shapeId="0">
      <text>
        <t>La de vidro; chapa 1200 x 25000 mm; espessura 48 mm
NORMAS: NBR 11722</t>
      </text>
    </comment>
    <comment ref="C24" authorId="0" shapeId="0">
      <text>
        <t>Chapa de gesso RU; chapa 1200 x 2400 mm; espessura 12.5 mm
NORMAS: NBR 14715</t>
      </text>
    </comment>
    <comment ref="C25" authorId="0" shapeId="0">
      <text>
        <t>tipos em uso: AB 4,8x19 ponta broca, AB 5,5x25 ponta broca
NORMAS: NBR 14762 item 8.4</t>
      </text>
    </comment>
    <comment ref="C26" authorId="0" shapeId="0">
      <text>
        <t>perfilaria de forro em aco galvanizado, malha 600 x 1.200, pendural regulavel; tabica perimetral de sombra
NORMAS: NBR 15758-2</t>
      </text>
    </comment>
    <comment ref="C27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8" authorId="0" shapeId="0">
      <text>
        <t>chapa dobrada / manta conforme descricao
NORMAS: NBR 10844, NBR 9575</t>
      </text>
    </comment>
    <comment ref="C29" authorId="0" shapeId="0">
      <text>
        <t>chapa dobrada / manta conforme descricao
NORMAS: NBR 10844, NBR 9575</t>
      </text>
    </comment>
    <comment ref="C32" authorId="0" shapeId="0">
      <text>
        <t>chapa dobrada / manta conforme descricao
NORMAS: NBR 10844, NBR 9575</t>
      </text>
    </comment>
    <comment ref="C33" authorId="0" shapeId="0">
      <text>
        <t>chapa dobrada / manta conforme descricao
NORMAS: NBR 10844, NBR 9575</t>
      </text>
    </comment>
    <comment ref="C35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6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7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8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9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40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41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4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4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fck 30 MPa, aco CA-50, tela Q196; (H) ate a sondagem: a especificacao muda com o laudo
NORMAS: NBR 12655, NBR 6118, NBR 6122</t>
      </text>
    </comment>
    <comment ref="C50" authorId="0" shapeId="0">
      <text>
        <t>fck 30 MPa, aco CA-50, tela Q196; (H) ate a sondagem: a especificacao muda com o laudo
NORMAS: NBR 12655, NBR 6118, NBR 6122</t>
      </text>
    </comment>
    <comment ref="C51" authorId="0" shapeId="0">
      <text>
        <t>fck 30 MPa, aco CA-50, tela Q196; (H) ate a sondagem: a especificacao muda com o laudo
NORMAS: NBR 12655, NBR 6118, NBR 6122</t>
      </text>
    </comment>
    <comment ref="C52" authorId="0" shapeId="0">
      <text>
        <t>fck 30 MPa, aco CA-50, tela Q196; (H) ate a sondagem: a especificacao muda com o laudo
NORMAS: NBR 12655, NBR 6118, NBR 6122</t>
      </text>
    </comment>
    <comment ref="C53" authorId="0" shapeId="0">
      <text>
        <t>fck 30 MPa, aco CA-50, tela Q196; (H) ate a sondagem: a especificacao muda com o laudo
NORMAS: NBR 12655, NBR 6118, NBR 6122</t>
      </text>
    </comment>
    <comment ref="C54" authorId="0" shapeId="0">
      <text>
        <t>fck 30 MPa, aco CA-50, tela Q196; (H) ate a sondagem: a especificacao muda com o laudo
NORMAS: NBR 12655, NBR 6118, NBR 6122</t>
      </text>
    </comment>
    <comment ref="C55" authorId="0" shapeId="0">
      <text>
        <t>tubo, conexao ou condutor conforme descricao
NORMAS: NBR 5410, NBR 5626, NBR 8160</t>
      </text>
    </comment>
    <comment ref="C56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
NORMAS: NBR 5410, NBR 5626, NBR 8160</t>
      </text>
    </comment>
    <comment ref="C60" authorId="0" shapeId="0">
      <text>
        <t>tubo, conexao ou condutor conforme descricao; DN50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
NORMAS: NBR 5410, NBR 5626, NBR 8160</t>
      </text>
    </comment>
    <comment ref="C65" authorId="0" shapeId="0">
      <text>
        <t>tubo, conexao ou condutor conforme descricao; DN75
NORMAS: NBR 5410, NBR 5626, NBR 8160</t>
      </text>
    </comment>
    <comment ref="C66" authorId="0" shapeId="0">
      <text>
        <t>tubo, conexao ou condutor conforme descricao; DN20
NORMAS: NBR 5410, NBR 5626, NBR 8160</t>
      </text>
    </comment>
    <comment ref="C67" authorId="0" shapeId="0">
      <text>
        <t>tubo, conexao ou condutor conforme descricao; DN40
NORMAS: NBR 5410, NBR 5626, NBR 8160</t>
      </text>
    </comment>
    <comment ref="C68" authorId="0" shapeId="0">
      <text>
        <t>tubo, conexao ou condutor conforme descricao; DN100
NORMAS: NBR 5410, NBR 5626, NBR 8160</t>
      </text>
    </comment>
    <comment ref="C69" authorId="0" shapeId="0">
      <text>
        <t>tubo, conexao ou condutor conforme descricao; DN20
NORMAS: NBR 5410, NBR 5626, NBR 8160</t>
      </text>
    </comment>
    <comment ref="C75" authorId="0" shapeId="0">
      <text>
        <t>tubo, conexao ou condutor conforme descricao
NORMAS: NBR 5410, NBR 5626, NBR 8160</t>
      </text>
    </comment>
    <comment ref="C83" authorId="0" shapeId="0">
      <text>
        <t>tipos em uso: AB 4,8x19 ponta broca, AB 5,5x25 ponta broca
NORMAS: NBR 14762 item 8.4</t>
      </text>
    </comment>
    <comment ref="C8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5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87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8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132" authorId="0" shapeId="0">
      <text>
        <t>hora de equipe, com encargos e EPI
LACUNA: convencao coletiva vigente e composicao de encargos</t>
      </text>
    </comment>
    <comment ref="C133" authorId="0" shapeId="0">
      <text>
        <t>hora de equipe, com encargos e EPI
LACUNA: convencao coletiva vigente e composicao de encargos</t>
      </text>
    </comment>
    <comment ref="C13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7" authorId="0" shapeId="0">
      <text>
        <t>tinta e mao de obra conforme especificacao de acabamento; 2 demaos sobre selador; rendimento declarado na quantidade
NORMAS: NBR 11702, NBR 13245</t>
      </text>
    </comment>
    <comment ref="C13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40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4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4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4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4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49" authorId="0" shapeId="0">
      <text>
        <t>tinta e mao de obra conforme especificacao de acabamento; 2 demaos sobre selador; rendimento declarado na quantidade
NORMAS: NBR 11702, NBR 13245</t>
      </text>
    </comment>
    <comment ref="C15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51" authorId="0" shapeId="0">
      <text>
        <t>tinta e mao de obra conforme especificacao de acabamento; 2 demaos sobre selador; rendimento declarado na quantidade
NORMAS: NBR 11702, NBR 13245</t>
      </text>
    </comment>
    <comment ref="C152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5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4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5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5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7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58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5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6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6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6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65" authorId="0" shapeId="0">
      <text>
        <t>equipamento novo, com garantia de fabrica e instalacao por credenciado
LACUNA: marca e modelo: a capacidade esta dimensionada, a escolha do equipamento e do proprietario</t>
      </text>
    </comment>
    <comment ref="C16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67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68" authorId="0" shapeId="0">
      <text>
        <t>equipamento novo, com garantia de fabrica e instalacao por credenciado
LACUNA: marca e modelo: a capacidade esta dimensionada, a escolha do equipamento e do proprietario</t>
      </text>
    </comment>
    <comment ref="C16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0" authorId="0" shapeId="0">
      <text>
        <t>tinta e mao de obra conforme especificacao de acabamento; 2 demaos sobre selador; rendimento declarado na quantidade
NORMAS: NBR 11702, NBR 13245</t>
      </text>
    </comment>
    <comment ref="C17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2" authorId="0" shapeId="0">
      <text>
        <t>equipamento novo, com garantia de fabrica e instalacao por credenciado
LACUNA: marca e modelo: a capacidade esta dimensionada, a escolha do equipamento e do proprietario</t>
      </text>
    </comment>
    <comment ref="C17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74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7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7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78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7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8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82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8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85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8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87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88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8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9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9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9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9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94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9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9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9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9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9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200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307.08 m² fechados · revisão R86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4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COUNTIF(V4:V200,"COMPLETO")&amp;" de "&amp;197&amp;" itens com 5 propostas"</f>
        <v/>
      </c>
      <c r="T2" s="7">
        <f>IF(I201=0,0,SUMIF(V4:V200,"COMPLETO",I4:I200)/I201)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6698.1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EST-VIGA-W310x23.8</t>
        </is>
      </c>
      <c r="B5" s="10" t="inlineStr">
        <is>
          <t>estrutura</t>
        </is>
      </c>
      <c r="C5" s="11" t="inlineStr">
        <is>
          <t>Viga laminada W310x23.8</t>
        </is>
      </c>
      <c r="D5" s="10" t="inlineStr">
        <is>
          <t>kg</t>
        </is>
      </c>
      <c r="E5" s="12" t="n">
        <v>899.6</v>
      </c>
      <c r="F5" s="13" t="n">
        <v>0</v>
      </c>
      <c r="G5" s="14">
        <f>E5*(1+F5)</f>
        <v/>
      </c>
      <c r="H5" s="15" t="n">
        <v>18.5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EST-PILAR</t>
        </is>
      </c>
      <c r="B6" s="10" t="inlineStr">
        <is>
          <t>estrutura</t>
        </is>
      </c>
      <c r="C6" s="11" t="inlineStr">
        <is>
          <t>Pilar aparente: perfil metalico 200 x 200 mm (H)</t>
        </is>
      </c>
      <c r="D6" s="10" t="inlineStr">
        <is>
          <t>kg</t>
        </is>
      </c>
      <c r="E6" s="12" t="n">
        <v>787.1</v>
      </c>
      <c r="F6" s="13" t="n">
        <v>0</v>
      </c>
      <c r="G6" s="14">
        <f>E6*(1+F6)</f>
        <v/>
      </c>
      <c r="H6" s="15" t="n">
        <v>18.5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EST-PILAR-EMB</t>
        </is>
      </c>
      <c r="B7" s="10" t="inlineStr">
        <is>
          <t>estrutura</t>
        </is>
      </c>
      <c r="C7" s="11" t="inlineStr">
        <is>
          <t>Pilar embutido na parede: tubo estrutural 140 x 100 x 6,3 mm dentro da p</t>
        </is>
      </c>
      <c r="D7" s="10" t="inlineStr">
        <is>
          <t>kg</t>
        </is>
      </c>
      <c r="E7" s="12" t="n">
        <v>594</v>
      </c>
      <c r="F7" s="13" t="n">
        <v>0</v>
      </c>
      <c r="G7" s="14">
        <f>E7*(1+F7)</f>
        <v/>
      </c>
      <c r="H7" s="15" t="n">
        <v>18.5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EST-VIGA-W360x32.9</t>
        </is>
      </c>
      <c r="B8" s="10" t="inlineStr">
        <is>
          <t>estrutura</t>
        </is>
      </c>
      <c r="C8" s="11" t="inlineStr">
        <is>
          <t>Viga laminada W360x32.9</t>
        </is>
      </c>
      <c r="D8" s="10" t="inlineStr">
        <is>
          <t>kg</t>
        </is>
      </c>
      <c r="E8" s="12" t="n">
        <v>197.4</v>
      </c>
      <c r="F8" s="13" t="n">
        <v>0</v>
      </c>
      <c r="G8" s="14">
        <f>E8*(1+F8)</f>
        <v/>
      </c>
      <c r="H8" s="15" t="n">
        <v>18.5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EST-VIGA-W150x13.0</t>
        </is>
      </c>
      <c r="B9" s="10" t="inlineStr">
        <is>
          <t>estrutura</t>
        </is>
      </c>
      <c r="C9" s="11" t="inlineStr">
        <is>
          <t>Viga laminada W150x13.0</t>
        </is>
      </c>
      <c r="D9" s="10" t="inlineStr">
        <is>
          <t>kg</t>
        </is>
      </c>
      <c r="E9" s="12" t="n">
        <v>195</v>
      </c>
      <c r="F9" s="13" t="n">
        <v>0</v>
      </c>
      <c r="G9" s="14">
        <f>E9*(1+F9)</f>
        <v/>
      </c>
      <c r="H9" s="15" t="n">
        <v>18.5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EST-VIGA-W200x15.0</t>
        </is>
      </c>
      <c r="B10" s="10" t="inlineStr">
        <is>
          <t>estrutura</t>
        </is>
      </c>
      <c r="C10" s="11" t="inlineStr">
        <is>
          <t>Viga laminada W200x15.0</t>
        </is>
      </c>
      <c r="D10" s="10" t="inlineStr">
        <is>
          <t>kg</t>
        </is>
      </c>
      <c r="E10" s="12" t="n">
        <v>144</v>
      </c>
      <c r="F10" s="13" t="n">
        <v>0</v>
      </c>
      <c r="G10" s="14">
        <f>E10*(1+F10)</f>
        <v/>
      </c>
      <c r="H10" s="15" t="n">
        <v>18.5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GESSO-12,5</t>
        </is>
      </c>
      <c r="B11" s="10" t="inlineStr">
        <is>
          <t>vedacao</t>
        </is>
      </c>
      <c r="C11" s="11" t="inlineStr">
        <is>
          <t>Chapa de gesso 12.5 mm</t>
        </is>
      </c>
      <c r="D11" s="10" t="inlineStr">
        <is>
          <t>m2</t>
        </is>
      </c>
      <c r="E11" s="12" t="n">
        <v>1037.9</v>
      </c>
      <c r="F11" s="13" t="n">
        <v>0</v>
      </c>
      <c r="G11" s="14">
        <f>E11*(1+F11)</f>
        <v/>
      </c>
      <c r="H11" s="15" t="n">
        <v>28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PIR-75</t>
        </is>
      </c>
      <c r="B12" s="10" t="inlineStr">
        <is>
          <t>vedacao</t>
        </is>
      </c>
      <c r="C12" s="11" t="inlineStr">
        <is>
          <t>PIR 75 mm</t>
        </is>
      </c>
      <c r="D12" s="10" t="inlineStr">
        <is>
          <t>m2</t>
        </is>
      </c>
      <c r="E12" s="12" t="n">
        <v>157.7</v>
      </c>
      <c r="F12" s="13" t="n">
        <v>0</v>
      </c>
      <c r="G12" s="14">
        <f>E12*(1+F12)</f>
        <v/>
      </c>
      <c r="H12" s="15" t="n">
        <v>132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PLCIM-10</t>
        </is>
      </c>
      <c r="B13" s="10" t="inlineStr">
        <is>
          <t>vedacao</t>
        </is>
      </c>
      <c r="C13" s="11" t="inlineStr">
        <is>
          <t>Placa cimenticia 10 mm</t>
        </is>
      </c>
      <c r="D13" s="10" t="inlineStr">
        <is>
          <t>m2</t>
        </is>
      </c>
      <c r="E13" s="12" t="n">
        <v>329.4</v>
      </c>
      <c r="F13" s="13" t="n">
        <v>0</v>
      </c>
      <c r="G13" s="14">
        <f>E13*(1+F13)</f>
        <v/>
      </c>
      <c r="H13" s="15" t="n">
        <v>62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LAROCHA-50</t>
        </is>
      </c>
      <c r="B14" s="10" t="inlineStr">
        <is>
          <t>vedacao</t>
        </is>
      </c>
      <c r="C14" s="11" t="inlineStr">
        <is>
          <t>La de rocha 50 mm</t>
        </is>
      </c>
      <c r="D14" s="10" t="inlineStr">
        <is>
          <t>m2</t>
        </is>
      </c>
      <c r="E14" s="12" t="n">
        <v>489.5</v>
      </c>
      <c r="F14" s="13" t="n">
        <v>0</v>
      </c>
      <c r="G14" s="14">
        <f>E14*(1+F14)</f>
        <v/>
      </c>
      <c r="H14" s="15" t="n">
        <v>34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XPS-20</t>
        </is>
      </c>
      <c r="B15" s="10" t="inlineStr">
        <is>
          <t>vedacao</t>
        </is>
      </c>
      <c r="C15" s="11" t="inlineStr">
        <is>
          <t>XPS (ISO strip) 20 mm</t>
        </is>
      </c>
      <c r="D15" s="10" t="inlineStr">
        <is>
          <t>m2</t>
        </is>
      </c>
      <c r="E15" s="12" t="n">
        <v>329.4</v>
      </c>
      <c r="F15" s="13" t="n">
        <v>0</v>
      </c>
      <c r="G15" s="14">
        <f>E15*(1+F15)</f>
        <v/>
      </c>
      <c r="H15" s="15" t="n">
        <v>41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IMP-MANTA</t>
        </is>
      </c>
      <c r="B16" s="10" t="inlineStr">
        <is>
          <t>vedacao</t>
        </is>
      </c>
      <c r="C16" s="11" t="inlineStr">
        <is>
          <t>Impermeabilizacao de area molhada</t>
        </is>
      </c>
      <c r="D16" s="10" t="inlineStr">
        <is>
          <t>m2</t>
        </is>
      </c>
      <c r="E16" s="12" t="n">
        <v>131</v>
      </c>
      <c r="F16" s="13" t="n">
        <v>0</v>
      </c>
      <c r="G16" s="14">
        <f>E16*(1+F16)</f>
        <v/>
      </c>
      <c r="H16" s="15" t="n">
        <v>78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OSB-18</t>
        </is>
      </c>
      <c r="B17" s="10" t="inlineStr">
        <is>
          <t>vedacao</t>
        </is>
      </c>
      <c r="C17" s="11" t="inlineStr">
        <is>
          <t>OSB estrutural 18 mm</t>
        </is>
      </c>
      <c r="D17" s="10" t="inlineStr">
        <is>
          <t>m2</t>
        </is>
      </c>
      <c r="E17" s="12" t="n">
        <v>127.1</v>
      </c>
      <c r="F17" s="13" t="n">
        <v>0</v>
      </c>
      <c r="G17" s="14">
        <f>E17*(1+F17)</f>
        <v/>
      </c>
      <c r="H17" s="15" t="n">
        <v>58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CANT</t>
        </is>
      </c>
      <c r="B18" s="10" t="inlineStr">
        <is>
          <t>vedacao</t>
        </is>
      </c>
      <c r="C18" s="11" t="inlineStr">
        <is>
          <t>Cantoneira de canto e arremate</t>
        </is>
      </c>
      <c r="D18" s="10" t="inlineStr">
        <is>
          <t>m</t>
        </is>
      </c>
      <c r="E18" s="12" t="n">
        <v>1191.6</v>
      </c>
      <c r="F18" s="13" t="n">
        <v>0</v>
      </c>
      <c r="G18" s="14">
        <f>E18*(1+F18)</f>
        <v/>
      </c>
      <c r="H18" s="15" t="n">
        <v>4.5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LAVIDRO-50</t>
        </is>
      </c>
      <c r="B19" s="10" t="inlineStr">
        <is>
          <t>vedacao</t>
        </is>
      </c>
      <c r="C19" s="11" t="inlineStr">
        <is>
          <t>La de vidro 50 mm</t>
        </is>
      </c>
      <c r="D19" s="10" t="inlineStr">
        <is>
          <t>m2</t>
        </is>
      </c>
      <c r="E19" s="12" t="n">
        <v>178.3</v>
      </c>
      <c r="F19" s="13" t="n">
        <v>0</v>
      </c>
      <c r="G19" s="14">
        <f>E19*(1+F19)</f>
        <v/>
      </c>
      <c r="H19" s="15" t="n">
        <v>22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FOR-PERFIL</t>
        </is>
      </c>
      <c r="B20" s="10" t="inlineStr">
        <is>
          <t>vedacao</t>
        </is>
      </c>
      <c r="C20" s="11" t="inlineStr">
        <is>
          <t>Forro: canaleta e travessa F530 galvanizada</t>
        </is>
      </c>
      <c r="D20" s="10" t="inlineStr">
        <is>
          <t>m</t>
        </is>
      </c>
      <c r="E20" s="12" t="n">
        <v>394.2</v>
      </c>
      <c r="F20" s="13" t="n">
        <v>0</v>
      </c>
      <c r="G20" s="14">
        <f>E20*(1+F20)</f>
        <v/>
      </c>
      <c r="H20" s="15" t="n">
        <v>6.8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MASSA</t>
        </is>
      </c>
      <c r="B21" s="10" t="inlineStr">
        <is>
          <t>vedacao</t>
        </is>
      </c>
      <c r="C21" s="11" t="inlineStr">
        <is>
          <t>Massa para junta, 3 demaos</t>
        </is>
      </c>
      <c r="D21" s="10" t="inlineStr">
        <is>
          <t>m</t>
        </is>
      </c>
      <c r="E21" s="12" t="n">
        <v>958.8</v>
      </c>
      <c r="F21" s="13" t="n">
        <v>0</v>
      </c>
      <c r="G21" s="14">
        <f>E21*(1+F21)</f>
        <v/>
      </c>
      <c r="H21" s="15" t="n">
        <v>2.5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FOR-TABICA</t>
        </is>
      </c>
      <c r="B22" s="10" t="inlineStr">
        <is>
          <t>vedacao</t>
        </is>
      </c>
      <c r="C22" s="11" t="inlineStr">
        <is>
          <t>Forro: tabica perimetral de sombra</t>
        </is>
      </c>
      <c r="D22" s="10" t="inlineStr">
        <is>
          <t>m</t>
        </is>
      </c>
      <c r="E22" s="12" t="n">
        <v>147</v>
      </c>
      <c r="F22" s="13" t="n">
        <v>0</v>
      </c>
      <c r="G22" s="14">
        <f>E22*(1+F22)</f>
        <v/>
      </c>
      <c r="H22" s="15" t="n">
        <v>14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LAVIDRO-48</t>
        </is>
      </c>
      <c r="B23" s="10" t="inlineStr">
        <is>
          <t>vedacao</t>
        </is>
      </c>
      <c r="C23" s="11" t="inlineStr">
        <is>
          <t>La de vidro 48 mm</t>
        </is>
      </c>
      <c r="D23" s="10" t="inlineStr">
        <is>
          <t>m2</t>
        </is>
      </c>
      <c r="E23" s="12" t="n">
        <v>80.90000000000001</v>
      </c>
      <c r="F23" s="13" t="n">
        <v>0</v>
      </c>
      <c r="G23" s="14">
        <f>E23*(1+F23)</f>
        <v/>
      </c>
      <c r="H23" s="15" t="n">
        <v>22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GESSORU-12,5</t>
        </is>
      </c>
      <c r="B24" s="10" t="inlineStr">
        <is>
          <t>vedacao</t>
        </is>
      </c>
      <c r="C24" s="11" t="inlineStr">
        <is>
          <t>Chapa de gesso RU 12.5 mm</t>
        </is>
      </c>
      <c r="D24" s="10" t="inlineStr">
        <is>
          <t>m2</t>
        </is>
      </c>
      <c r="E24" s="12" t="n">
        <v>43.7</v>
      </c>
      <c r="F24" s="13" t="n">
        <v>0</v>
      </c>
      <c r="G24" s="14">
        <f>E24*(1+F24)</f>
        <v/>
      </c>
      <c r="H24" s="15" t="n">
        <v>36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PAR-PLA</t>
        </is>
      </c>
      <c r="B25" s="10" t="inlineStr">
        <is>
          <t>vedacao</t>
        </is>
      </c>
      <c r="C25" s="11" t="inlineStr">
        <is>
          <t>Parafuso de placa 25 mm</t>
        </is>
      </c>
      <c r="D25" s="10" t="inlineStr">
        <is>
          <t>un</t>
        </is>
      </c>
      <c r="E25" s="12" t="n">
        <v>12666</v>
      </c>
      <c r="F25" s="13" t="n">
        <v>0</v>
      </c>
      <c r="G25" s="14">
        <f>E25*(1+F25)</f>
        <v/>
      </c>
      <c r="H25" s="15" t="n">
        <v>0.12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FOR-TIRANTE</t>
        </is>
      </c>
      <c r="B26" s="10" t="inlineStr">
        <is>
          <t>vedacao</t>
        </is>
      </c>
      <c r="C26" s="11" t="inlineStr">
        <is>
          <t>Forro: pendural regulavel com tirante</t>
        </is>
      </c>
      <c r="D26" s="10" t="inlineStr">
        <is>
          <t>un</t>
        </is>
      </c>
      <c r="E26" s="12" t="n">
        <v>219</v>
      </c>
      <c r="F26" s="13" t="n">
        <v>0</v>
      </c>
      <c r="G26" s="14">
        <f>E26*(1+F26)</f>
        <v/>
      </c>
      <c r="H26" s="15" t="n">
        <v>3.2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FITA</t>
        </is>
      </c>
      <c r="B27" s="10" t="inlineStr">
        <is>
          <t>vedacao</t>
        </is>
      </c>
      <c r="C27" s="11" t="inlineStr">
        <is>
          <t>Fita de papel para junta</t>
        </is>
      </c>
      <c r="D27" s="10" t="inlineStr">
        <is>
          <t>m</t>
        </is>
      </c>
      <c r="E27" s="12" t="n">
        <v>958.8</v>
      </c>
      <c r="F27" s="13" t="n">
        <v>0</v>
      </c>
      <c r="G27" s="14">
        <f>E27*(1+F27)</f>
        <v/>
      </c>
      <c r="H27" s="15" t="n">
        <v>0.4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COB-RUFO</t>
        </is>
      </c>
      <c r="B28" s="10" t="inlineStr">
        <is>
          <t>cobertura</t>
        </is>
      </c>
      <c r="C28" s="11" t="inlineStr">
        <is>
          <t>Rufo e contrarrufo</t>
        </is>
      </c>
      <c r="D28" s="10" t="inlineStr">
        <is>
          <t>m</t>
        </is>
      </c>
      <c r="E28" s="12" t="n">
        <v>147</v>
      </c>
      <c r="F28" s="13" t="n">
        <v>0</v>
      </c>
      <c r="G28" s="14">
        <f>E28*(1+F28)</f>
        <v/>
      </c>
      <c r="H28" s="15" t="n">
        <v>62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COB-CALHA</t>
        </is>
      </c>
      <c r="B29" s="10" t="inlineStr">
        <is>
          <t>cobertura</t>
        </is>
      </c>
      <c r="C29" s="11" t="inlineStr">
        <is>
          <t>Calha externa 150x100 mm</t>
        </is>
      </c>
      <c r="D29" s="10" t="inlineStr">
        <is>
          <t>m</t>
        </is>
      </c>
      <c r="E29" s="12" t="n">
        <v>73.5</v>
      </c>
      <c r="F29" s="13" t="n">
        <v>0</v>
      </c>
      <c r="G29" s="14">
        <f>E29*(1+F29)</f>
        <v/>
      </c>
      <c r="H29" s="15" t="n">
        <v>118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PLA-PLACA</t>
        </is>
      </c>
      <c r="B30" s="10" t="inlineStr">
        <is>
          <t>cobertura</t>
        </is>
      </c>
      <c r="C30" s="11" t="inlineStr">
        <is>
          <t>Platibanda: fechamento em placa cimenticia, duas faces</t>
        </is>
      </c>
      <c r="D30" s="10" t="inlineStr">
        <is>
          <t>m2</t>
        </is>
      </c>
      <c r="E30" s="12" t="n">
        <v>71.3</v>
      </c>
      <c r="F30" s="13" t="n">
        <v>0</v>
      </c>
      <c r="G30" s="14">
        <f>E30*(1+F30)</f>
        <v/>
      </c>
      <c r="H30" s="15" t="n">
        <v>62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PLA-GUIA</t>
        </is>
      </c>
      <c r="B31" s="10" t="inlineStr">
        <is>
          <t>cobertura</t>
        </is>
      </c>
      <c r="C31" s="11" t="inlineStr">
        <is>
          <t>Platibanda: guia U 92x38x0,95</t>
        </is>
      </c>
      <c r="D31" s="10" t="inlineStr">
        <is>
          <t>m</t>
        </is>
      </c>
      <c r="E31" s="12" t="n">
        <v>129.6</v>
      </c>
      <c r="F31" s="13" t="n">
        <v>0</v>
      </c>
      <c r="G31" s="14">
        <f>E31*(1+F31)</f>
        <v/>
      </c>
      <c r="H31" s="15" t="n">
        <v>14.1335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COB-PAR</t>
        </is>
      </c>
      <c r="B32" s="10" t="inlineStr">
        <is>
          <t>cobertura</t>
        </is>
      </c>
      <c r="C32" s="11" t="inlineStr">
        <is>
          <t>Parafuso de fixacao do painel</t>
        </is>
      </c>
      <c r="D32" s="10" t="inlineStr">
        <is>
          <t>un</t>
        </is>
      </c>
      <c r="E32" s="12" t="n">
        <v>630</v>
      </c>
      <c r="F32" s="13" t="n">
        <v>0</v>
      </c>
      <c r="G32" s="14">
        <f>E32*(1+F32)</f>
        <v/>
      </c>
      <c r="H32" s="15" t="n">
        <v>1.8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COB-CUME</t>
        </is>
      </c>
      <c r="B33" s="10" t="inlineStr">
        <is>
          <t>cobertura</t>
        </is>
      </c>
      <c r="C33" s="11" t="inlineStr">
        <is>
          <t>Cumeeira</t>
        </is>
      </c>
      <c r="D33" s="10" t="inlineStr">
        <is>
          <t>m</t>
        </is>
      </c>
      <c r="E33" s="12" t="n">
        <v>13.4</v>
      </c>
      <c r="F33" s="13" t="n">
        <v>0</v>
      </c>
      <c r="G33" s="14">
        <f>E33*(1+F33)</f>
        <v/>
      </c>
      <c r="H33" s="15" t="n">
        <v>74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PLA-MONT</t>
        </is>
      </c>
      <c r="B34" s="10" t="inlineStr">
        <is>
          <t>cobertura</t>
        </is>
      </c>
      <c r="C34" s="11" t="inlineStr">
        <is>
          <t>Platibanda: montante Ue 90x40x12x0,95</t>
        </is>
      </c>
      <c r="D34" s="10" t="inlineStr">
        <is>
          <t>m</t>
        </is>
      </c>
      <c r="E34" s="12" t="n">
        <v>60</v>
      </c>
      <c r="F34" s="13" t="n">
        <v>0</v>
      </c>
      <c r="G34" s="14">
        <f>E34*(1+F34)</f>
        <v/>
      </c>
      <c r="H34" s="15" t="n">
        <v>16.1805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ESQ-CAIX</t>
        </is>
      </c>
      <c r="B35" s="10" t="inlineStr">
        <is>
          <t>esquadria</t>
        </is>
      </c>
      <c r="C35" s="11" t="inlineStr">
        <is>
          <t>Caixilho de aluminio</t>
        </is>
      </c>
      <c r="D35" s="10" t="inlineStr">
        <is>
          <t>m</t>
        </is>
      </c>
      <c r="E35" s="12" t="n">
        <v>298.1</v>
      </c>
      <c r="F35" s="13" t="n">
        <v>0</v>
      </c>
      <c r="G35" s="14">
        <f>E35*(1+F35)</f>
        <v/>
      </c>
      <c r="H35" s="15" t="n">
        <v>185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ESQ-VIDRO</t>
        </is>
      </c>
      <c r="B36" s="10" t="inlineStr">
        <is>
          <t>esquadria</t>
        </is>
      </c>
      <c r="C36" s="11" t="inlineStr">
        <is>
          <t>Vidro (ver especificacao por vao)</t>
        </is>
      </c>
      <c r="D36" s="10" t="inlineStr">
        <is>
          <t>m2</t>
        </is>
      </c>
      <c r="E36" s="12" t="n">
        <v>59.64</v>
      </c>
      <c r="F36" s="13" t="n">
        <v>0</v>
      </c>
      <c r="G36" s="14">
        <f>E36*(1+F36)</f>
        <v/>
      </c>
      <c r="H36" s="15" t="n">
        <v>310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ESQ-VIDRO-LOWE</t>
        </is>
      </c>
      <c r="B37" s="10" t="inlineStr">
        <is>
          <t>esquadria</t>
        </is>
      </c>
      <c r="C37" s="11" t="inlineStr">
        <is>
          <t>Acrescimo: laminado low-e (g &lt;= 0,35) sobre o vidro base</t>
        </is>
      </c>
      <c r="D37" s="10" t="inlineStr">
        <is>
          <t>m2</t>
        </is>
      </c>
      <c r="E37" s="12" t="n">
        <v>24.48</v>
      </c>
      <c r="F37" s="13" t="n">
        <v>0</v>
      </c>
      <c r="G37" s="14">
        <f>E37*(1+F37)</f>
        <v/>
      </c>
      <c r="H37" s="15" t="n">
        <v>390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FER-TRILHO</t>
        </is>
      </c>
      <c r="B38" s="10" t="inlineStr">
        <is>
          <t>esquadria</t>
        </is>
      </c>
      <c r="C38" s="11" t="inlineStr">
        <is>
          <t>Ferragem: trilho</t>
        </is>
      </c>
      <c r="D38" s="10" t="inlineStr">
        <is>
          <t>m</t>
        </is>
      </c>
      <c r="E38" s="12" t="n">
        <v>45.4</v>
      </c>
      <c r="F38" s="13" t="n">
        <v>0</v>
      </c>
      <c r="G38" s="14">
        <f>E38*(1+F38)</f>
        <v/>
      </c>
      <c r="H38" s="15" t="n">
        <v>96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FER-BATENT</t>
        </is>
      </c>
      <c r="B39" s="10" t="inlineStr">
        <is>
          <t>esquadria</t>
        </is>
      </c>
      <c r="C39" s="11" t="inlineStr">
        <is>
          <t>Ferragem: batente</t>
        </is>
      </c>
      <c r="D39" s="10" t="inlineStr">
        <is>
          <t>un</t>
        </is>
      </c>
      <c r="E39" s="12" t="n">
        <v>14</v>
      </c>
      <c r="F39" s="13" t="n">
        <v>0</v>
      </c>
      <c r="G39" s="14">
        <f>E39*(1+F39)</f>
        <v/>
      </c>
      <c r="H39" s="15" t="n">
        <v>210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FER-FECHO</t>
        </is>
      </c>
      <c r="B40" s="10" t="inlineStr">
        <is>
          <t>esquadria</t>
        </is>
      </c>
      <c r="C40" s="11" t="inlineStr">
        <is>
          <t>Ferragem: fecho</t>
        </is>
      </c>
      <c r="D40" s="10" t="inlineStr">
        <is>
          <t>un</t>
        </is>
      </c>
      <c r="E40" s="12" t="n">
        <v>56</v>
      </c>
      <c r="F40" s="13" t="n">
        <v>0</v>
      </c>
      <c r="G40" s="14">
        <f>E40*(1+F40)</f>
        <v/>
      </c>
      <c r="H40" s="15" t="n">
        <v>42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FER-ROLDAN</t>
        </is>
      </c>
      <c r="B41" s="10" t="inlineStr">
        <is>
          <t>esquadria</t>
        </is>
      </c>
      <c r="C41" s="11" t="inlineStr">
        <is>
          <t>Ferragem: roldana</t>
        </is>
      </c>
      <c r="D41" s="10" t="inlineStr">
        <is>
          <t>un</t>
        </is>
      </c>
      <c r="E41" s="12" t="n">
        <v>116</v>
      </c>
      <c r="F41" s="13" t="n">
        <v>0</v>
      </c>
      <c r="G41" s="14">
        <f>E41*(1+F41)</f>
        <v/>
      </c>
      <c r="H41" s="15" t="n">
        <v>18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FER-FECHAD</t>
        </is>
      </c>
      <c r="B42" s="10" t="inlineStr">
        <is>
          <t>esquadria</t>
        </is>
      </c>
      <c r="C42" s="11" t="inlineStr">
        <is>
          <t>Ferragem: fechadura</t>
        </is>
      </c>
      <c r="D42" s="10" t="inlineStr">
        <is>
          <t>un</t>
        </is>
      </c>
      <c r="E42" s="12" t="n">
        <v>14</v>
      </c>
      <c r="F42" s="13" t="n">
        <v>0</v>
      </c>
      <c r="G42" s="14">
        <f>E42*(1+F42)</f>
        <v/>
      </c>
      <c r="H42" s="15" t="n">
        <v>145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FER-DOBRAD</t>
        </is>
      </c>
      <c r="B43" s="10" t="inlineStr">
        <is>
          <t>esquadria</t>
        </is>
      </c>
      <c r="C43" s="11" t="inlineStr">
        <is>
          <t>Ferragem: dobradica</t>
        </is>
      </c>
      <c r="D43" s="10" t="inlineStr">
        <is>
          <t>un</t>
        </is>
      </c>
      <c r="E43" s="12" t="n">
        <v>42</v>
      </c>
      <c r="F43" s="13" t="n">
        <v>0</v>
      </c>
      <c r="G43" s="14">
        <f>E43*(1+F43)</f>
        <v/>
      </c>
      <c r="H43" s="15" t="n">
        <v>26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FUN-CONC</t>
        </is>
      </c>
      <c r="B44" s="10" t="inlineStr">
        <is>
          <t>fundacao</t>
        </is>
      </c>
      <c r="C44" s="11" t="inlineStr">
        <is>
          <t>Concreto fck 30 MPa</t>
        </is>
      </c>
      <c r="D44" s="10" t="inlineStr">
        <is>
          <t>m3</t>
        </is>
      </c>
      <c r="E44" s="12" t="n">
        <v>37.74</v>
      </c>
      <c r="F44" s="13" t="n">
        <v>0</v>
      </c>
      <c r="G44" s="14">
        <f>E44*(1+F44)</f>
        <v/>
      </c>
      <c r="H44" s="15" t="n">
        <v>520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FUN-ACO</t>
        </is>
      </c>
      <c r="B45" s="10" t="inlineStr">
        <is>
          <t>fundacao</t>
        </is>
      </c>
      <c r="C45" s="11" t="inlineStr">
        <is>
          <t>Aco CA-50 para radier</t>
        </is>
      </c>
      <c r="D45" s="10" t="inlineStr">
        <is>
          <t>kg</t>
        </is>
      </c>
      <c r="E45" s="12" t="n">
        <v>1530.2</v>
      </c>
      <c r="F45" s="13" t="n">
        <v>0</v>
      </c>
      <c r="G45" s="14">
        <f>E45*(1+F45)</f>
        <v/>
      </c>
      <c r="H45" s="15" t="n">
        <v>9.800000000000001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FUN-SUBST</t>
        </is>
      </c>
      <c r="B46" s="10" t="inlineStr">
        <is>
          <t>fundacao</t>
        </is>
      </c>
      <c r="C46" s="11" t="inlineStr">
        <is>
          <t>Substituicao: areia grossa com brita graduada</t>
        </is>
      </c>
      <c r="D46" s="10" t="inlineStr">
        <is>
          <t>m3</t>
        </is>
      </c>
      <c r="E46" s="12" t="n">
        <v>109.1</v>
      </c>
      <c r="F46" s="13" t="n">
        <v>0</v>
      </c>
      <c r="G46" s="14">
        <f>E46*(1+F46)</f>
        <v/>
      </c>
      <c r="H46" s="15" t="n">
        <v>128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FUN-TELA</t>
        </is>
      </c>
      <c r="B47" s="10" t="inlineStr">
        <is>
          <t>fundacao</t>
        </is>
      </c>
      <c r="C47" s="11" t="inlineStr">
        <is>
          <t>Tela soldada Q196</t>
        </is>
      </c>
      <c r="D47" s="10" t="inlineStr">
        <is>
          <t>m2</t>
        </is>
      </c>
      <c r="E47" s="12" t="n">
        <v>410</v>
      </c>
      <c r="F47" s="13" t="n">
        <v>0</v>
      </c>
      <c r="G47" s="14">
        <f>E47*(1+F47)</f>
        <v/>
      </c>
      <c r="H47" s="15" t="n">
        <v>28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FUN-BOTA</t>
        </is>
      </c>
      <c r="B48" s="10" t="inlineStr">
        <is>
          <t>fundacao</t>
        </is>
      </c>
      <c r="C48" s="11" t="inlineStr">
        <is>
          <t>Bota-fora do material escavado (empolado 25 %)</t>
        </is>
      </c>
      <c r="D48" s="10" t="inlineStr">
        <is>
          <t>m3</t>
        </is>
      </c>
      <c r="E48" s="12" t="n">
        <v>163.6</v>
      </c>
      <c r="F48" s="13" t="n">
        <v>0</v>
      </c>
      <c r="G48" s="14">
        <f>E48*(1+F48)</f>
        <v/>
      </c>
      <c r="H48" s="15" t="n">
        <v>46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FUN-ESCAV</t>
        </is>
      </c>
      <c r="B49" s="10" t="inlineStr">
        <is>
          <t>fundacao</t>
        </is>
      </c>
      <c r="C49" s="11" t="inlineStr">
        <is>
          <t>Escavacao do aterro superficial reprovado</t>
        </is>
      </c>
      <c r="D49" s="10" t="inlineStr">
        <is>
          <t>m3</t>
        </is>
      </c>
      <c r="E49" s="12" t="n">
        <v>130.9</v>
      </c>
      <c r="F49" s="13" t="n">
        <v>0</v>
      </c>
      <c r="G49" s="14">
        <f>E49*(1+F49)</f>
        <v/>
      </c>
      <c r="H49" s="15" t="n">
        <v>38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FUN-LASTRO</t>
        </is>
      </c>
      <c r="B50" s="10" t="inlineStr">
        <is>
          <t>fundacao</t>
        </is>
      </c>
      <c r="C50" s="11" t="inlineStr">
        <is>
          <t>Lastro de brita graduada</t>
        </is>
      </c>
      <c r="D50" s="10" t="inlineStr">
        <is>
          <t>m3</t>
        </is>
      </c>
      <c r="E50" s="12" t="n">
        <v>21.8</v>
      </c>
      <c r="F50" s="13" t="n">
        <v>0</v>
      </c>
      <c r="G50" s="14">
        <f>E50*(1+F50)</f>
        <v/>
      </c>
      <c r="H50" s="15" t="n">
        <v>145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FUN-COMP</t>
        </is>
      </c>
      <c r="B51" s="10" t="inlineStr">
        <is>
          <t>fundacao</t>
        </is>
      </c>
      <c r="C51" s="11" t="inlineStr">
        <is>
          <t>Compactacao controlada, camadas de 250 mm</t>
        </is>
      </c>
      <c r="D51" s="10" t="inlineStr">
        <is>
          <t>m3</t>
        </is>
      </c>
      <c r="E51" s="12" t="n">
        <v>109.1</v>
      </c>
      <c r="F51" s="13" t="n">
        <v>0</v>
      </c>
      <c r="G51" s="14">
        <f>E51*(1+F51)</f>
        <v/>
      </c>
      <c r="H51" s="15" t="n">
        <v>22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FUN-FORMA</t>
        </is>
      </c>
      <c r="B52" s="10" t="inlineStr">
        <is>
          <t>fundacao</t>
        </is>
      </c>
      <c r="C52" s="11" t="inlineStr">
        <is>
          <t>Forma de borda e engrossamento do perimetro</t>
        </is>
      </c>
      <c r="D52" s="10" t="inlineStr">
        <is>
          <t>m2</t>
        </is>
      </c>
      <c r="E52" s="12" t="n">
        <v>25.4</v>
      </c>
      <c r="F52" s="13" t="n">
        <v>0</v>
      </c>
      <c r="G52" s="14">
        <f>E52*(1+F52)</f>
        <v/>
      </c>
      <c r="H52" s="15" t="n">
        <v>68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FUN-ENSAIO</t>
        </is>
      </c>
      <c r="B53" s="10" t="inlineStr">
        <is>
          <t>fundacao</t>
        </is>
      </c>
      <c r="C53" s="11" t="inlineStr">
        <is>
          <t>Ensaio de densidade in situ por camada</t>
        </is>
      </c>
      <c r="D53" s="10" t="inlineStr">
        <is>
          <t>un</t>
        </is>
      </c>
      <c r="E53" s="12" t="n">
        <v>4</v>
      </c>
      <c r="F53" s="13" t="n">
        <v>0</v>
      </c>
      <c r="G53" s="14">
        <f>E53*(1+F53)</f>
        <v/>
      </c>
      <c r="H53" s="15" t="n">
        <v>380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FUN-LONA</t>
        </is>
      </c>
      <c r="B54" s="10" t="inlineStr">
        <is>
          <t>fundacao</t>
        </is>
      </c>
      <c r="C54" s="11" t="inlineStr">
        <is>
          <t>Lona plastica sob o radier</t>
        </is>
      </c>
      <c r="D54" s="10" t="inlineStr">
        <is>
          <t>m2</t>
        </is>
      </c>
      <c r="E54" s="12" t="n">
        <v>205</v>
      </c>
      <c r="F54" s="13" t="n">
        <v>0</v>
      </c>
      <c r="G54" s="14">
        <f>E54*(1+F54)</f>
        <v/>
      </c>
      <c r="H54" s="15" t="n">
        <v>4.5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MEP-CABO</t>
        </is>
      </c>
      <c r="B55" s="10" t="inlineStr">
        <is>
          <t>instalacao</t>
        </is>
      </c>
      <c r="C55" s="11" t="inlineStr">
        <is>
          <t>Cabo de cobre (fase, neutro e terra), por circuito e secao</t>
        </is>
      </c>
      <c r="D55" s="10" t="inlineStr">
        <is>
          <t>m</t>
        </is>
      </c>
      <c r="E55" s="12" t="n">
        <v>2784</v>
      </c>
      <c r="F55" s="13" t="n">
        <v>0</v>
      </c>
      <c r="G55" s="14">
        <f>E55*(1+F55)</f>
        <v/>
      </c>
      <c r="H55" s="15" t="n">
        <v>4.2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MEP-ELET</t>
        </is>
      </c>
      <c r="B56" s="10" t="inlineStr">
        <is>
          <t>instalacao</t>
        </is>
      </c>
      <c r="C56" s="11" t="inlineStr">
        <is>
          <t>Eletroduto flexivel (arvore dos circuitos, parede a parede)</t>
        </is>
      </c>
      <c r="D56" s="10" t="inlineStr">
        <is>
          <t>m</t>
        </is>
      </c>
      <c r="E56" s="12" t="n">
        <v>1545.6</v>
      </c>
      <c r="F56" s="13" t="n">
        <v>0</v>
      </c>
      <c r="G56" s="14">
        <f>E56*(1+F56)</f>
        <v/>
      </c>
      <c r="H56" s="15" t="n">
        <v>6.5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FIX-06</t>
        </is>
      </c>
      <c r="B57" s="10" t="inlineStr">
        <is>
          <t>instalacao</t>
        </is>
      </c>
      <c r="C57" s="11" t="inlineStr">
        <is>
          <t>Bucha passa-fio 25 mm (montante atravessado)</t>
        </is>
      </c>
      <c r="D57" s="10" t="inlineStr">
        <is>
          <t>un</t>
        </is>
      </c>
      <c r="E57" s="12" t="n">
        <v>2931</v>
      </c>
      <c r="F57" s="13" t="n">
        <v>0</v>
      </c>
      <c r="G57" s="14">
        <f>E57*(1+F57)</f>
        <v/>
      </c>
      <c r="H57" s="15" t="n">
        <v>1.2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MEP-FRIGO</t>
        </is>
      </c>
      <c r="B58" s="10" t="inlineStr">
        <is>
          <t>instalacao</t>
        </is>
      </c>
      <c r="C58" s="11" t="inlineStr">
        <is>
          <t>Linha frigorigena</t>
        </is>
      </c>
      <c r="D58" s="10" t="inlineStr">
        <is>
          <t>m</t>
        </is>
      </c>
      <c r="E58" s="12" t="n">
        <v>56</v>
      </c>
      <c r="F58" s="13" t="n">
        <v>0</v>
      </c>
      <c r="G58" s="14">
        <f>E58*(1+F58)</f>
        <v/>
      </c>
      <c r="H58" s="15" t="n">
        <v>62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MEP-CONEX</t>
        </is>
      </c>
      <c r="B59" s="10" t="inlineStr">
        <is>
          <t>instalacao</t>
        </is>
      </c>
      <c r="C59" s="11" t="inlineStr">
        <is>
          <t>Conexoes hidraulicas</t>
        </is>
      </c>
      <c r="D59" s="10" t="inlineStr">
        <is>
          <t>un</t>
        </is>
      </c>
      <c r="E59" s="12" t="n">
        <v>209</v>
      </c>
      <c r="F59" s="13" t="n">
        <v>0</v>
      </c>
      <c r="G59" s="14">
        <f>E59*(1+F59)</f>
        <v/>
      </c>
      <c r="H59" s="15" t="n">
        <v>12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MEP-ESGO50</t>
        </is>
      </c>
      <c r="B60" s="10" t="inlineStr">
        <is>
          <t>instalacao</t>
        </is>
      </c>
      <c r="C60" s="11" t="inlineStr">
        <is>
          <t>Tubo esgoto DN50</t>
        </is>
      </c>
      <c r="D60" s="10" t="inlineStr">
        <is>
          <t>m</t>
        </is>
      </c>
      <c r="E60" s="12" t="n">
        <v>81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FIX-13</t>
        </is>
      </c>
      <c r="B61" s="10" t="inlineStr">
        <is>
          <t>instalacao</t>
        </is>
      </c>
      <c r="C61" s="11" t="inlineStr">
        <is>
          <t>Clip de eletroduto no montante (a cada 1.200 mm)</t>
        </is>
      </c>
      <c r="D61" s="10" t="inlineStr">
        <is>
          <t>un</t>
        </is>
      </c>
      <c r="E61" s="12" t="n">
        <v>1923</v>
      </c>
      <c r="F61" s="13" t="n">
        <v>0</v>
      </c>
      <c r="G61" s="14">
        <f>E61*(1+F61)</f>
        <v/>
      </c>
      <c r="H61" s="15" t="n">
        <v>0.9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MEP-ISOL</t>
        </is>
      </c>
      <c r="B62" s="10" t="inlineStr">
        <is>
          <t>instalacao</t>
        </is>
      </c>
      <c r="C62" s="11" t="inlineStr">
        <is>
          <t>Isolamento de linha</t>
        </is>
      </c>
      <c r="D62" s="10" t="inlineStr">
        <is>
          <t>m</t>
        </is>
      </c>
      <c r="E62" s="12" t="n">
        <v>112</v>
      </c>
      <c r="F62" s="13" t="n">
        <v>0</v>
      </c>
      <c r="G62" s="14">
        <f>E62*(1+F62)</f>
        <v/>
      </c>
      <c r="H62" s="15" t="n">
        <v>14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MEP-DISJ</t>
        </is>
      </c>
      <c r="B63" s="10" t="inlineStr">
        <is>
          <t>instalacao</t>
        </is>
      </c>
      <c r="C63" s="11" t="inlineStr">
        <is>
          <t>Disjuntor</t>
        </is>
      </c>
      <c r="D63" s="10" t="inlineStr">
        <is>
          <t>un</t>
        </is>
      </c>
      <c r="E63" s="12" t="n">
        <v>37</v>
      </c>
      <c r="F63" s="13" t="n">
        <v>0</v>
      </c>
      <c r="G63" s="14">
        <f>E63*(1+F63)</f>
        <v/>
      </c>
      <c r="H63" s="15" t="n">
        <v>38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FIX-10</t>
        </is>
      </c>
      <c r="B64" s="10" t="inlineStr">
        <is>
          <t>instalacao</t>
        </is>
      </c>
      <c r="C64" s="11" t="inlineStr">
        <is>
          <t>Caixa de passagem</t>
        </is>
      </c>
      <c r="D64" s="10" t="inlineStr">
        <is>
          <t>un</t>
        </is>
      </c>
      <c r="E64" s="12" t="n">
        <v>147</v>
      </c>
      <c r="F64" s="13" t="n">
        <v>0</v>
      </c>
      <c r="G64" s="14">
        <f>E64*(1+F64)</f>
        <v/>
      </c>
      <c r="H64" s="15" t="n">
        <v>9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MEP-ESGO75</t>
        </is>
      </c>
      <c r="B65" s="10" t="inlineStr">
        <is>
          <t>instalacao</t>
        </is>
      </c>
      <c r="C65" s="11" t="inlineStr">
        <is>
          <t>Tubo esgoto DN75</t>
        </is>
      </c>
      <c r="D65" s="10" t="inlineStr">
        <is>
          <t>m</t>
        </is>
      </c>
      <c r="E65" s="12" t="n">
        <v>50.2</v>
      </c>
      <c r="F65" s="13" t="n">
        <v>0</v>
      </c>
      <c r="G65" s="14">
        <f>E65*(1+F65)</f>
        <v/>
      </c>
      <c r="H65" s="15" t="n">
        <v>26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MEP-PEX20</t>
        </is>
      </c>
      <c r="B66" s="10" t="inlineStr">
        <is>
          <t>instalacao</t>
        </is>
      </c>
      <c r="C66" s="11" t="inlineStr">
        <is>
          <t>Tubo PEX DN20 agua fria, pela parede a 400 mm</t>
        </is>
      </c>
      <c r="D66" s="10" t="inlineStr">
        <is>
          <t>m</t>
        </is>
      </c>
      <c r="E66" s="12" t="n">
        <v>124.2</v>
      </c>
      <c r="F66" s="13" t="n">
        <v>0</v>
      </c>
      <c r="G66" s="14">
        <f>E66*(1+F66)</f>
        <v/>
      </c>
      <c r="H66" s="15" t="n">
        <v>9.800000000000001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MEP-ESGO40</t>
        </is>
      </c>
      <c r="B67" s="10" t="inlineStr">
        <is>
          <t>instalacao</t>
        </is>
      </c>
      <c r="C67" s="11" t="inlineStr">
        <is>
          <t>Tubo esgoto DN40</t>
        </is>
      </c>
      <c r="D67" s="10" t="inlineStr">
        <is>
          <t>m</t>
        </is>
      </c>
      <c r="E67" s="12" t="n">
        <v>46.7</v>
      </c>
      <c r="F67" s="13" t="n">
        <v>0</v>
      </c>
      <c r="G67" s="14">
        <f>E67*(1+F67)</f>
        <v/>
      </c>
      <c r="H67" s="15" t="n">
        <v>26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MEP-ESGO100</t>
        </is>
      </c>
      <c r="B68" s="10" t="inlineStr">
        <is>
          <t>instalacao</t>
        </is>
      </c>
      <c r="C68" s="11" t="inlineStr">
        <is>
          <t>Tubo esgoto DN100</t>
        </is>
      </c>
      <c r="D68" s="10" t="inlineStr">
        <is>
          <t>m</t>
        </is>
      </c>
      <c r="E68" s="12" t="n">
        <v>36</v>
      </c>
      <c r="F68" s="13" t="n">
        <v>0</v>
      </c>
      <c r="G68" s="14">
        <f>E68*(1+F68)</f>
        <v/>
      </c>
      <c r="H68" s="15" t="n">
        <v>26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MEP-AGUA20</t>
        </is>
      </c>
      <c r="B69" s="10" t="inlineStr">
        <is>
          <t>instalacao</t>
        </is>
      </c>
      <c r="C69" s="11" t="inlineStr">
        <is>
          <t>Tubo agua quente DN20</t>
        </is>
      </c>
      <c r="D69" s="10" t="inlineStr">
        <is>
          <t>m</t>
        </is>
      </c>
      <c r="E69" s="12" t="n">
        <v>42</v>
      </c>
      <c r="F69" s="13" t="n">
        <v>0</v>
      </c>
      <c r="G69" s="14">
        <f>E69*(1+F69)</f>
        <v/>
      </c>
      <c r="H69" s="15" t="n">
        <v>18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FIX-09</t>
        </is>
      </c>
      <c r="B70" s="10" t="inlineStr">
        <is>
          <t>instalacao</t>
        </is>
      </c>
      <c r="C70" s="11" t="inlineStr">
        <is>
          <t>Caixa 4x4 octogonal</t>
        </is>
      </c>
      <c r="D70" s="10" t="inlineStr">
        <is>
          <t>un</t>
        </is>
      </c>
      <c r="E70" s="12" t="n">
        <v>111</v>
      </c>
      <c r="F70" s="13" t="n">
        <v>0</v>
      </c>
      <c r="G70" s="14">
        <f>E70*(1+F70)</f>
        <v/>
      </c>
      <c r="H70" s="15" t="n">
        <v>6.2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FIX-05</t>
        </is>
      </c>
      <c r="B71" s="10" t="inlineStr">
        <is>
          <t>instalacao</t>
        </is>
      </c>
      <c r="C71" s="11" t="inlineStr">
        <is>
          <t>Barra de fixacao entre montantes + joelho de transicao (peca)</t>
        </is>
      </c>
      <c r="D71" s="10" t="inlineStr">
        <is>
          <t>un</t>
        </is>
      </c>
      <c r="E71" s="12" t="n">
        <v>21</v>
      </c>
      <c r="F71" s="13" t="n">
        <v>0</v>
      </c>
      <c r="G71" s="14">
        <f>E71*(1+F71)</f>
        <v/>
      </c>
      <c r="H71" s="15" t="n">
        <v>28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FIX-07</t>
        </is>
      </c>
      <c r="B72" s="10" t="inlineStr">
        <is>
          <t>instalacao</t>
        </is>
      </c>
      <c r="C72" s="11" t="inlineStr">
        <is>
          <t>Caixa 4x2</t>
        </is>
      </c>
      <c r="D72" s="10" t="inlineStr">
        <is>
          <t>un</t>
        </is>
      </c>
      <c r="E72" s="12" t="n">
        <v>118</v>
      </c>
      <c r="F72" s="13" t="n">
        <v>0</v>
      </c>
      <c r="G72" s="14">
        <f>E72*(1+F72)</f>
        <v/>
      </c>
      <c r="H72" s="15" t="n">
        <v>4.8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FIX-15</t>
        </is>
      </c>
      <c r="B73" s="10" t="inlineStr">
        <is>
          <t>instalacao</t>
        </is>
      </c>
      <c r="C73" s="11" t="inlineStr">
        <is>
          <t>Luva de protecao no furo de 32 mm (montante atravessado)</t>
        </is>
      </c>
      <c r="D73" s="10" t="inlineStr">
        <is>
          <t>un</t>
        </is>
      </c>
      <c r="E73" s="12" t="n">
        <v>304</v>
      </c>
      <c r="F73" s="13" t="n">
        <v>0</v>
      </c>
      <c r="G73" s="14">
        <f>E73*(1+F73)</f>
        <v/>
      </c>
      <c r="H73" s="15" t="n">
        <v>1.5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FIX-01</t>
        </is>
      </c>
      <c r="B74" s="10" t="inlineStr">
        <is>
          <t>instalacao</t>
        </is>
      </c>
      <c r="C74" s="11" t="inlineStr">
        <is>
          <t>Abracadeira de eletroduto no forro/entrepiso (a cada 1.000 mm)</t>
        </is>
      </c>
      <c r="D74" s="10" t="inlineStr">
        <is>
          <t>un</t>
        </is>
      </c>
      <c r="E74" s="12" t="n">
        <v>162</v>
      </c>
      <c r="F74" s="13" t="n">
        <v>0</v>
      </c>
      <c r="G74" s="14">
        <f>E74*(1+F74)</f>
        <v/>
      </c>
      <c r="H74" s="15" t="n">
        <v>2.5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MEP-DRENO</t>
        </is>
      </c>
      <c r="B75" s="10" t="inlineStr">
        <is>
          <t>instalacao</t>
        </is>
      </c>
      <c r="C75" s="11" t="inlineStr">
        <is>
          <t>Dreno de condensado</t>
        </is>
      </c>
      <c r="D75" s="10" t="inlineStr">
        <is>
          <t>m</t>
        </is>
      </c>
      <c r="E75" s="12" t="n">
        <v>44.8</v>
      </c>
      <c r="F75" s="13" t="n">
        <v>0</v>
      </c>
      <c r="G75" s="14">
        <f>E75*(1+F75)</f>
        <v/>
      </c>
      <c r="H75" s="15" t="n">
        <v>9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FIX-08</t>
        </is>
      </c>
      <c r="B76" s="10" t="inlineStr">
        <is>
          <t>instalacao</t>
        </is>
      </c>
      <c r="C76" s="11" t="inlineStr">
        <is>
          <t>Caixa 4x4</t>
        </is>
      </c>
      <c r="D76" s="10" t="inlineStr">
        <is>
          <t>un</t>
        </is>
      </c>
      <c r="E76" s="12" t="n">
        <v>39</v>
      </c>
      <c r="F76" s="13" t="n">
        <v>0</v>
      </c>
      <c r="G76" s="14">
        <f>E76*(1+F76)</f>
        <v/>
      </c>
      <c r="H76" s="15" t="n">
        <v>6.2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FIX-02</t>
        </is>
      </c>
      <c r="B77" s="10" t="inlineStr">
        <is>
          <t>instalacao</t>
        </is>
      </c>
      <c r="C77" s="11" t="inlineStr">
        <is>
          <t>Abracadeira de linha frigorigena (a cada 1,0 m)</t>
        </is>
      </c>
      <c r="D77" s="10" t="inlineStr">
        <is>
          <t>un</t>
        </is>
      </c>
      <c r="E77" s="12" t="n">
        <v>71</v>
      </c>
      <c r="F77" s="13" t="n">
        <v>0</v>
      </c>
      <c r="G77" s="14">
        <f>E77*(1+F77)</f>
        <v/>
      </c>
      <c r="H77" s="15" t="n">
        <v>3.2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FIX-12</t>
        </is>
      </c>
      <c r="B78" s="10" t="inlineStr">
        <is>
          <t>instalacao</t>
        </is>
      </c>
      <c r="C78" s="11" t="inlineStr">
        <is>
          <t>Clip de PEX no montante (a cada 600 mm)</t>
        </is>
      </c>
      <c r="D78" s="10" t="inlineStr">
        <is>
          <t>un</t>
        </is>
      </c>
      <c r="E78" s="12" t="n">
        <v>273</v>
      </c>
      <c r="F78" s="13" t="n">
        <v>0</v>
      </c>
      <c r="G78" s="14">
        <f>E78*(1+F78)</f>
        <v/>
      </c>
      <c r="H78" s="15" t="n">
        <v>0.8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FIX-14</t>
        </is>
      </c>
      <c r="B79" s="10" t="inlineStr">
        <is>
          <t>instalacao</t>
        </is>
      </c>
      <c r="C79" s="11" t="inlineStr">
        <is>
          <t>Eletroduto PEAD enterrado (m)</t>
        </is>
      </c>
      <c r="D79" s="10" t="inlineStr">
        <is>
          <t>m</t>
        </is>
      </c>
      <c r="E79" s="12" t="n">
        <v>15.3</v>
      </c>
      <c r="F79" s="13" t="n">
        <v>0</v>
      </c>
      <c r="G79" s="14">
        <f>E79*(1+F79)</f>
        <v/>
      </c>
      <c r="H79" s="15" t="n">
        <v>12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FIX-03</t>
        </is>
      </c>
      <c r="B80" s="10" t="inlineStr">
        <is>
          <t>instalacao</t>
        </is>
      </c>
      <c r="C80" s="11" t="inlineStr">
        <is>
          <t>Abracadeira isofonica de esgoto no entrepiso (a cada 1,0 m)</t>
        </is>
      </c>
      <c r="D80" s="10" t="inlineStr">
        <is>
          <t>un</t>
        </is>
      </c>
      <c r="E80" s="12" t="n">
        <v>25</v>
      </c>
      <c r="F80" s="13" t="n">
        <v>0</v>
      </c>
      <c r="G80" s="14">
        <f>E80*(1+F80)</f>
        <v/>
      </c>
      <c r="H80" s="15" t="n">
        <v>6.5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FIX-11</t>
        </is>
      </c>
      <c r="B81" s="10" t="inlineStr">
        <is>
          <t>instalacao</t>
        </is>
      </c>
      <c r="C81" s="11" t="inlineStr">
        <is>
          <t>Clip de PEX na subida (a cada 600 mm)</t>
        </is>
      </c>
      <c r="D81" s="10" t="inlineStr">
        <is>
          <t>un</t>
        </is>
      </c>
      <c r="E81" s="12" t="n">
        <v>30</v>
      </c>
      <c r="F81" s="13" t="n">
        <v>0</v>
      </c>
      <c r="G81" s="14">
        <f>E81*(1+F81)</f>
        <v/>
      </c>
      <c r="H81" s="15" t="n">
        <v>0.8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FIX-04</t>
        </is>
      </c>
      <c r="B82" s="10" t="inlineStr">
        <is>
          <t>instalacao</t>
        </is>
      </c>
      <c r="C82" s="11" t="inlineStr">
        <is>
          <t>Arame de amarracao do esgoto a tela do radier (a cada 1,5 m)</t>
        </is>
      </c>
      <c r="D82" s="10" t="inlineStr">
        <is>
          <t>un</t>
        </is>
      </c>
      <c r="E82" s="12" t="n">
        <v>57</v>
      </c>
      <c r="F82" s="13" t="n">
        <v>0</v>
      </c>
      <c r="G82" s="14">
        <f>E82*(1+F82)</f>
        <v/>
      </c>
      <c r="H82" s="15" t="n">
        <v>0.3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PAR-EST</t>
        </is>
      </c>
      <c r="B83" s="10" t="inlineStr">
        <is>
          <t>ligacao</t>
        </is>
      </c>
      <c r="C83" s="11" t="inlineStr">
        <is>
          <t>Parafuso estrutural auto-brocante</t>
        </is>
      </c>
      <c r="D83" s="10" t="inlineStr">
        <is>
          <t>un</t>
        </is>
      </c>
      <c r="E83" s="12" t="n">
        <v>6524</v>
      </c>
      <c r="F83" s="13" t="n">
        <v>0</v>
      </c>
      <c r="G83" s="14">
        <f>E83*(1+F83)</f>
        <v/>
      </c>
      <c r="H83" s="15" t="n">
        <v>0.28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FAC-FASCIA</t>
        </is>
      </c>
      <c r="B84" s="10" t="inlineStr">
        <is>
          <t>fachada</t>
        </is>
      </c>
      <c r="C84" s="11" t="inlineStr">
        <is>
          <t>Fascia de platibanda 450 mm, aluminio grafite dobrado, rufo integrado</t>
        </is>
      </c>
      <c r="D84" s="10" t="inlineStr">
        <is>
          <t>m</t>
        </is>
      </c>
      <c r="E84" s="12" t="n">
        <v>126</v>
      </c>
      <c r="F84" s="13" t="n">
        <v>0</v>
      </c>
      <c r="G84" s="14">
        <f>E84*(1+F84)</f>
        <v/>
      </c>
      <c r="H84" s="15" t="n">
        <v>220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FAC-MINERAL</t>
        </is>
      </c>
      <c r="B85" s="10" t="inlineStr">
        <is>
          <t>fachada</t>
        </is>
      </c>
      <c r="C85" s="11" t="inlineStr">
        <is>
          <t>Acrescimo: placa cimenticia com revestimento mineral de fabrica, junta seca 6 mm</t>
        </is>
      </c>
      <c r="D85" s="10" t="inlineStr">
        <is>
          <t>m2</t>
        </is>
      </c>
      <c r="E85" s="12" t="n">
        <v>217.3</v>
      </c>
      <c r="F85" s="13" t="n">
        <v>0</v>
      </c>
      <c r="G85" s="14">
        <f>E85*(1+F85)</f>
        <v/>
      </c>
      <c r="H85" s="15" t="n">
        <v>88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BRI-RIPA</t>
        </is>
      </c>
      <c r="B86" s="10" t="inlineStr">
        <is>
          <t>fachada</t>
        </is>
      </c>
      <c r="C86" s="11" t="inlineStr">
        <is>
          <t>Ripa de fachada: tubular de aluminio 50 x 20 x 1,2 mm</t>
        </is>
      </c>
      <c r="D86" s="10" t="inlineStr">
        <is>
          <t>m</t>
        </is>
      </c>
      <c r="E86" s="12" t="n">
        <v>375</v>
      </c>
      <c r="F86" s="13" t="n">
        <v>0</v>
      </c>
      <c r="G86" s="14">
        <f>E86*(1+F86)</f>
        <v/>
      </c>
      <c r="H86" s="15" t="n">
        <v>42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FAC-BASE</t>
        </is>
      </c>
      <c r="B87" s="10" t="inlineStr">
        <is>
          <t>fachada</t>
        </is>
      </c>
      <c r="C87" s="11" t="inlineStr">
        <is>
          <t>Basecoat de regularizacao sobre placa cimenticia</t>
        </is>
      </c>
      <c r="D87" s="10" t="inlineStr">
        <is>
          <t>m2</t>
        </is>
      </c>
      <c r="E87" s="12" t="n">
        <v>183.4</v>
      </c>
      <c r="F87" s="13" t="n">
        <v>0</v>
      </c>
      <c r="G87" s="14">
        <f>E87*(1+F87)</f>
        <v/>
      </c>
      <c r="H87" s="15" t="n">
        <v>34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FAC-MAO</t>
        </is>
      </c>
      <c r="B88" s="10" t="inlineStr">
        <is>
          <t>fachada</t>
        </is>
      </c>
      <c r="C88" s="11" t="inlineStr">
        <is>
          <t>Mao de obra de fachada (basecoat, tela, junta e pintura)</t>
        </is>
      </c>
      <c r="D88" s="10" t="inlineStr">
        <is>
          <t>m2</t>
        </is>
      </c>
      <c r="E88" s="12" t="n">
        <v>183.4</v>
      </c>
      <c r="F88" s="13" t="n">
        <v>0</v>
      </c>
      <c r="G88" s="14">
        <f>E88*(1+F88)</f>
        <v/>
      </c>
      <c r="H88" s="15" t="n">
        <v>34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FAC-JUNTA-SECA</t>
        </is>
      </c>
      <c r="B89" s="10" t="inlineStr">
        <is>
          <t>fachada</t>
        </is>
      </c>
      <c r="C89" s="11" t="inlineStr">
        <is>
          <t>Junta seca: perfil EPDM e fundo de junta</t>
        </is>
      </c>
      <c r="D89" s="10" t="inlineStr">
        <is>
          <t>m</t>
        </is>
      </c>
      <c r="E89" s="12" t="n">
        <v>271.7</v>
      </c>
      <c r="F89" s="13" t="n">
        <v>0</v>
      </c>
      <c r="G89" s="14">
        <f>E89*(1+F89)</f>
        <v/>
      </c>
      <c r="H89" s="15" t="n">
        <v>22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BRI-MEC</t>
        </is>
      </c>
      <c r="B90" s="10" t="inlineStr">
        <is>
          <t>fachada</t>
        </is>
      </c>
      <c r="C90" s="11" t="inlineStr">
        <is>
          <t>Mecanismo de brise movel: guia, roldana e trava</t>
        </is>
      </c>
      <c r="D90" s="10" t="inlineStr">
        <is>
          <t>cj</t>
        </is>
      </c>
      <c r="E90" s="12" t="n">
        <v>2</v>
      </c>
      <c r="F90" s="13" t="n">
        <v>0</v>
      </c>
      <c r="G90" s="14">
        <f>E90*(1+F90)</f>
        <v/>
      </c>
      <c r="H90" s="15" t="n">
        <v>2400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FAC-TINTA</t>
        </is>
      </c>
      <c r="B91" s="10" t="inlineStr">
        <is>
          <t>fachada</t>
        </is>
      </c>
      <c r="C91" s="11" t="inlineStr">
        <is>
          <t>Tinta acrilica elastomerica lisa com biocida, 2 demaos</t>
        </is>
      </c>
      <c r="D91" s="10" t="inlineStr">
        <is>
          <t>L</t>
        </is>
      </c>
      <c r="E91" s="12" t="n">
        <v>52.4</v>
      </c>
      <c r="F91" s="13" t="n">
        <v>0</v>
      </c>
      <c r="G91" s="14">
        <f>E91*(1+F91)</f>
        <v/>
      </c>
      <c r="H91" s="15" t="n">
        <v>68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FAC-JUNTA</t>
        </is>
      </c>
      <c r="B92" s="10" t="inlineStr">
        <is>
          <t>fachada</t>
        </is>
      </c>
      <c r="C92" s="11" t="inlineStr">
        <is>
          <t>Tratamento de junta externa: fundo de junta e selante PU</t>
        </is>
      </c>
      <c r="D92" s="10" t="inlineStr">
        <is>
          <t>m</t>
        </is>
      </c>
      <c r="E92" s="12" t="n">
        <v>229.3</v>
      </c>
      <c r="F92" s="13" t="n">
        <v>0</v>
      </c>
      <c r="G92" s="14">
        <f>E92*(1+F92)</f>
        <v/>
      </c>
      <c r="H92" s="15" t="n">
        <v>14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BRI-TRAV</t>
        </is>
      </c>
      <c r="B93" s="10" t="inlineStr">
        <is>
          <t>fachada</t>
        </is>
      </c>
      <c r="C93" s="11" t="inlineStr">
        <is>
          <t>Travessa de brise: U 50x25x1,2 aluminio</t>
        </is>
      </c>
      <c r="D93" s="10" t="inlineStr">
        <is>
          <t>m</t>
        </is>
      </c>
      <c r="E93" s="12" t="n">
        <v>51.6</v>
      </c>
      <c r="F93" s="13" t="n">
        <v>0</v>
      </c>
      <c r="G93" s="14">
        <f>E93*(1+F93)</f>
        <v/>
      </c>
      <c r="H93" s="15" t="n">
        <v>38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FAC-TELA</t>
        </is>
      </c>
      <c r="B94" s="10" t="inlineStr">
        <is>
          <t>fachada</t>
        </is>
      </c>
      <c r="C94" s="11" t="inlineStr">
        <is>
          <t>Tela de fibra de vidro alcali-resistente, embutida no basecoat</t>
        </is>
      </c>
      <c r="D94" s="10" t="inlineStr">
        <is>
          <t>m2</t>
        </is>
      </c>
      <c r="E94" s="12" t="n">
        <v>201.8</v>
      </c>
      <c r="F94" s="13" t="n">
        <v>0</v>
      </c>
      <c r="G94" s="14">
        <f>E94*(1+F94)</f>
        <v/>
      </c>
      <c r="H94" s="15" t="n">
        <v>9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BRI-FIX</t>
        </is>
      </c>
      <c r="B95" s="10" t="inlineStr">
        <is>
          <t>fachada</t>
        </is>
      </c>
      <c r="C95" s="11" t="inlineStr">
        <is>
          <t>Fixacao de travessa no montante</t>
        </is>
      </c>
      <c r="D95" s="10" t="inlineStr">
        <is>
          <t>un</t>
        </is>
      </c>
      <c r="E95" s="12" t="n">
        <v>96</v>
      </c>
      <c r="F95" s="13" t="n">
        <v>0</v>
      </c>
      <c r="G95" s="14">
        <f>E95*(1+F95)</f>
        <v/>
      </c>
      <c r="H95" s="15" t="n">
        <v>6.5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EXT-BLOCO</t>
        </is>
      </c>
      <c r="B96" s="10" t="inlineStr">
        <is>
          <t>externo</t>
        </is>
      </c>
      <c r="C96" s="11" t="inlineStr">
        <is>
          <t>Muro: bloco de concreto estrutural 14 x 19 x 39 ap</t>
        </is>
      </c>
      <c r="D96" s="10" t="inlineStr">
        <is>
          <t>un</t>
        </is>
      </c>
      <c r="E96" s="12" t="n">
        <v>2750</v>
      </c>
      <c r="F96" s="13" t="n">
        <v>0</v>
      </c>
      <c r="G96" s="14">
        <f>E96*(1+F96)</f>
        <v/>
      </c>
      <c r="H96" s="15" t="n">
        <v>4.8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EXT-PISO2</t>
        </is>
      </c>
      <c r="B97" s="10" t="inlineStr">
        <is>
          <t>externo</t>
        </is>
      </c>
      <c r="C97" s="11" t="inlineStr">
        <is>
          <t>lounge e circulacao do deck: WPC coextrudado claro</t>
        </is>
      </c>
      <c r="D97" s="10" t="inlineStr">
        <is>
          <t>m2</t>
        </is>
      </c>
      <c r="E97" s="12" t="n">
        <v>33.12</v>
      </c>
      <c r="F97" s="13" t="n">
        <v>0</v>
      </c>
      <c r="G97" s="14">
        <f>E97*(1+F97)</f>
        <v/>
      </c>
      <c r="H97" s="15" t="n">
        <v>320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EXT-PISC-EST</t>
        </is>
      </c>
      <c r="B98" s="10" t="inlineStr">
        <is>
          <t>externo</t>
        </is>
      </c>
      <c r="C98" s="11" t="inlineStr">
        <is>
          <t>Piscina: casca de concreto armado 150 mm</t>
        </is>
      </c>
      <c r="D98" s="10" t="inlineStr">
        <is>
          <t>m3</t>
        </is>
      </c>
      <c r="E98" s="12" t="n">
        <v>4.57</v>
      </c>
      <c r="F98" s="13" t="n">
        <v>0</v>
      </c>
      <c r="G98" s="14">
        <f>E98*(1+F98)</f>
        <v/>
      </c>
      <c r="H98" s="15" t="n">
        <v>1450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EXT-PISO4</t>
        </is>
      </c>
      <c r="B99" s="10" t="inlineStr">
        <is>
          <t>externo</t>
        </is>
      </c>
      <c r="C99" s="11" t="inlineStr">
        <is>
          <t>patio e deck descoberto: porcelanato externo claro R11</t>
        </is>
      </c>
      <c r="D99" s="10" t="inlineStr">
        <is>
          <t>m2</t>
        </is>
      </c>
      <c r="E99" s="12" t="n">
        <v>43.2</v>
      </c>
      <c r="F99" s="13" t="n">
        <v>0</v>
      </c>
      <c r="G99" s="14">
        <f>E99*(1+F99)</f>
        <v/>
      </c>
      <c r="H99" s="15" t="n">
        <v>148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EXT-PISC-REV</t>
        </is>
      </c>
      <c r="B100" s="10" t="inlineStr">
        <is>
          <t>externo</t>
        </is>
      </c>
      <c r="C100" s="11" t="inlineStr">
        <is>
          <t>Piscina: revestimento de fundo e paredes</t>
        </is>
      </c>
      <c r="D100" s="10" t="inlineStr">
        <is>
          <t>m2</t>
        </is>
      </c>
      <c r="E100" s="12" t="n">
        <v>30.43</v>
      </c>
      <c r="F100" s="13" t="n">
        <v>0</v>
      </c>
      <c r="G100" s="14">
        <f>E100*(1+F100)</f>
        <v/>
      </c>
      <c r="H100" s="15" t="n">
        <v>210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EXT-VASO</t>
        </is>
      </c>
      <c r="B101" s="10" t="inlineStr">
        <is>
          <t>externo</t>
        </is>
      </c>
      <c r="C101" s="11" t="inlineStr">
        <is>
          <t>Vaso e planta em vaso</t>
        </is>
      </c>
      <c r="D101" s="10" t="inlineStr">
        <is>
          <t>un</t>
        </is>
      </c>
      <c r="E101" s="12" t="n">
        <v>24</v>
      </c>
      <c r="F101" s="13" t="n">
        <v>0</v>
      </c>
      <c r="G101" s="14">
        <f>E101*(1+F101)</f>
        <v/>
      </c>
      <c r="H101" s="15" t="n">
        <v>240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EXT-PG03</t>
        </is>
      </c>
      <c r="B102" s="10" t="inlineStr">
        <is>
          <t>externo</t>
        </is>
      </c>
      <c r="C102" s="11" t="inlineStr">
        <is>
          <t>Portao lateral PG03 (dir): ripa de aluminio grafite, 4860 x 2200 mm, pivotante, duas folhas</t>
        </is>
      </c>
      <c r="D102" s="10" t="inlineStr">
        <is>
          <t>m</t>
        </is>
      </c>
      <c r="E102" s="12" t="n">
        <v>134.2</v>
      </c>
      <c r="F102" s="13" t="n">
        <v>0</v>
      </c>
      <c r="G102" s="14">
        <f>E102*(1+F102)</f>
        <v/>
      </c>
      <c r="H102" s="15" t="n">
        <v>42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EXT-GRAMA</t>
        </is>
      </c>
      <c r="B103" s="10" t="inlineStr">
        <is>
          <t>externo</t>
        </is>
      </c>
      <c r="C103" s="11" t="inlineStr">
        <is>
          <t>Grama e canteiro</t>
        </is>
      </c>
      <c r="D103" s="10" t="inlineStr">
        <is>
          <t>m2</t>
        </is>
      </c>
      <c r="E103" s="12" t="n">
        <v>137.16</v>
      </c>
      <c r="F103" s="13" t="n">
        <v>0</v>
      </c>
      <c r="G103" s="14">
        <f>E103*(1+F103)</f>
        <v/>
      </c>
      <c r="H103" s="15" t="n">
        <v>38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EXT-HIDROF</t>
        </is>
      </c>
      <c r="B104" s="10" t="inlineStr">
        <is>
          <t>externo</t>
        </is>
      </c>
      <c r="C104" s="11" t="inlineStr">
        <is>
          <t>Hidrofugante incolor no muro aparente</t>
        </is>
      </c>
      <c r="D104" s="10" t="inlineStr">
        <is>
          <t>m2</t>
        </is>
      </c>
      <c r="E104" s="12" t="n">
        <v>220</v>
      </c>
      <c r="F104" s="13" t="n">
        <v>0</v>
      </c>
      <c r="G104" s="14">
        <f>E104*(1+F104)</f>
        <v/>
      </c>
      <c r="H104" s="15" t="n">
        <v>18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EXT-ARV</t>
        </is>
      </c>
      <c r="B105" s="10" t="inlineStr">
        <is>
          <t>externo</t>
        </is>
      </c>
      <c r="C105" s="11" t="inlineStr">
        <is>
          <t>Arvore de porte</t>
        </is>
      </c>
      <c r="D105" s="10" t="inlineStr">
        <is>
          <t>un</t>
        </is>
      </c>
      <c r="E105" s="12" t="n">
        <v>5</v>
      </c>
      <c r="F105" s="13" t="n">
        <v>0</v>
      </c>
      <c r="G105" s="14">
        <f>E105*(1+F105)</f>
        <v/>
      </c>
      <c r="H105" s="15" t="n">
        <v>780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EXT-PISO1</t>
        </is>
      </c>
      <c r="B106" s="10" t="inlineStr">
        <is>
          <t>externo</t>
        </is>
      </c>
      <c r="C106" s="11" t="inlineStr">
        <is>
          <t>faixa seca da piscina: porcelanato externo claro R11</t>
        </is>
      </c>
      <c r="D106" s="10" t="inlineStr">
        <is>
          <t>m2</t>
        </is>
      </c>
      <c r="E106" s="12" t="n">
        <v>24.3</v>
      </c>
      <c r="F106" s="13" t="n">
        <v>0</v>
      </c>
      <c r="G106" s="14">
        <f>E106*(1+F106)</f>
        <v/>
      </c>
      <c r="H106" s="15" t="n">
        <v>148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EXT-BORDA</t>
        </is>
      </c>
      <c r="B107" s="10" t="inlineStr">
        <is>
          <t>externo</t>
        </is>
      </c>
      <c r="C107" s="11" t="inlineStr">
        <is>
          <t>Borda de piscina</t>
        </is>
      </c>
      <c r="D107" s="10" t="inlineStr">
        <is>
          <t>m</t>
        </is>
      </c>
      <c r="E107" s="12" t="n">
        <v>17.4</v>
      </c>
      <c r="F107" s="13" t="n">
        <v>0</v>
      </c>
      <c r="G107" s="14">
        <f>E107*(1+F107)</f>
        <v/>
      </c>
      <c r="H107" s="15" t="n">
        <v>185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EXT-PISO3</t>
        </is>
      </c>
      <c r="B108" s="10" t="inlineStr">
        <is>
          <t>externo</t>
        </is>
      </c>
      <c r="C108" s="11" t="inlineStr">
        <is>
          <t>passeio e acesso: piso drenante intertravado claro</t>
        </is>
      </c>
      <c r="D108" s="10" t="inlineStr">
        <is>
          <t>m2</t>
        </is>
      </c>
      <c r="E108" s="12" t="n">
        <v>30.96</v>
      </c>
      <c r="F108" s="13" t="n">
        <v>0</v>
      </c>
      <c r="G108" s="14">
        <f>E108*(1+F108)</f>
        <v/>
      </c>
      <c r="H108" s="15" t="n">
        <v>96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EXT-PISC-BOMBA</t>
        </is>
      </c>
      <c r="B109" s="10" t="inlineStr">
        <is>
          <t>externo</t>
        </is>
      </c>
      <c r="C109" s="11" t="inlineStr">
        <is>
          <t>Piscina: bomba velocidade variavel 0,5 cv com pre-filtro</t>
        </is>
      </c>
      <c r="D109" s="10" t="inlineStr">
        <is>
          <t>un</t>
        </is>
      </c>
      <c r="E109" s="12" t="n">
        <v>1</v>
      </c>
      <c r="F109" s="13" t="n">
        <v>0</v>
      </c>
      <c r="G109" s="14">
        <f>E109*(1+F109)</f>
        <v/>
      </c>
      <c r="H109" s="15" t="n">
        <v>2850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EXT-PG02</t>
        </is>
      </c>
      <c r="B110" s="10" t="inlineStr">
        <is>
          <t>externo</t>
        </is>
      </c>
      <c r="C110" s="11" t="inlineStr">
        <is>
          <t>Portao lateral PG02 (esq): ripa de aluminio grafite, 2260 x 2200 mm, pivotante, uma folha</t>
        </is>
      </c>
      <c r="D110" s="10" t="inlineStr">
        <is>
          <t>m</t>
        </is>
      </c>
      <c r="E110" s="12" t="n">
        <v>63.8</v>
      </c>
      <c r="F110" s="13" t="n">
        <v>0</v>
      </c>
      <c r="G110" s="14">
        <f>E110*(1+F110)</f>
        <v/>
      </c>
      <c r="H110" s="15" t="n">
        <v>42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EXT-PISC-TUBO</t>
        </is>
      </c>
      <c r="B111" s="10" t="inlineStr">
        <is>
          <t>externo</t>
        </is>
      </c>
      <c r="C111" s="11" t="inlineStr">
        <is>
          <t>Piscina: tubo PVC soldavel DN50 com conexoes</t>
        </is>
      </c>
      <c r="D111" s="10" t="inlineStr">
        <is>
          <t>m</t>
        </is>
      </c>
      <c r="E111" s="12" t="n">
        <v>94.2</v>
      </c>
      <c r="F111" s="13" t="n">
        <v>0</v>
      </c>
      <c r="G111" s="14">
        <f>E111*(1+F111)</f>
        <v/>
      </c>
      <c r="H111" s="15" t="n">
        <v>28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EXT-PISO5</t>
        </is>
      </c>
      <c r="B112" s="10" t="inlineStr">
        <is>
          <t>externo</t>
        </is>
      </c>
      <c r="C112" s="11" t="inlineStr">
        <is>
          <t>varanda do pavimento superior: porcelanato externo claro R11</t>
        </is>
      </c>
      <c r="D112" s="10" t="inlineStr">
        <is>
          <t>m2</t>
        </is>
      </c>
      <c r="E112" s="12" t="n">
        <v>14.04</v>
      </c>
      <c r="F112" s="13" t="n">
        <v>0</v>
      </c>
      <c r="G112" s="14">
        <f>E112*(1+F112)</f>
        <v/>
      </c>
      <c r="H112" s="15" t="n">
        <v>148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EXT-PISC-FILTRO</t>
        </is>
      </c>
      <c r="B113" s="10" t="inlineStr">
        <is>
          <t>externo</t>
        </is>
      </c>
      <c r="C113" s="11" t="inlineStr">
        <is>
          <t>Piscina: filtro de areia DE 500 mm com valvula seletora</t>
        </is>
      </c>
      <c r="D113" s="10" t="inlineStr">
        <is>
          <t>un</t>
        </is>
      </c>
      <c r="E113" s="12" t="n">
        <v>1</v>
      </c>
      <c r="F113" s="13" t="n">
        <v>0</v>
      </c>
      <c r="G113" s="14">
        <f>E113*(1+F113)</f>
        <v/>
      </c>
      <c r="H113" s="15" t="n">
        <v>1850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EXT-PISC-IMP</t>
        </is>
      </c>
      <c r="B114" s="10" t="inlineStr">
        <is>
          <t>externo</t>
        </is>
      </c>
      <c r="C114" s="11" t="inlineStr">
        <is>
          <t>Piscina: impermeabilizacao (cristalizante + polimerica)</t>
        </is>
      </c>
      <c r="D114" s="10" t="inlineStr">
        <is>
          <t>m2</t>
        </is>
      </c>
      <c r="E114" s="12" t="n">
        <v>30.43</v>
      </c>
      <c r="F114" s="13" t="n">
        <v>0</v>
      </c>
      <c r="G114" s="14">
        <f>E114*(1+F114)</f>
        <v/>
      </c>
      <c r="H114" s="15" t="n">
        <v>58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EXT-GRAUTE</t>
        </is>
      </c>
      <c r="B115" s="10" t="inlineStr">
        <is>
          <t>externo</t>
        </is>
      </c>
      <c r="C115" s="11" t="inlineStr">
        <is>
          <t>Graute de cinta e pilarete do muro</t>
        </is>
      </c>
      <c r="D115" s="10" t="inlineStr">
        <is>
          <t>m3</t>
        </is>
      </c>
      <c r="E115" s="12" t="n">
        <v>2.64</v>
      </c>
      <c r="F115" s="13" t="n">
        <v>0</v>
      </c>
      <c r="G115" s="14">
        <f>E115*(1+F115)</f>
        <v/>
      </c>
      <c r="H115" s="15" t="n">
        <v>620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EXT-PISC-LED</t>
        </is>
      </c>
      <c r="B116" s="10" t="inlineStr">
        <is>
          <t>externo</t>
        </is>
      </c>
      <c r="C116" s="11" t="inlineStr">
        <is>
          <t>Piscina: LED subaquatico 18 W 2700-3000 K</t>
        </is>
      </c>
      <c r="D116" s="10" t="inlineStr">
        <is>
          <t>un</t>
        </is>
      </c>
      <c r="E116" s="12" t="n">
        <v>3</v>
      </c>
      <c r="F116" s="13" t="n">
        <v>0</v>
      </c>
      <c r="G116" s="14">
        <f>E116*(1+F116)</f>
        <v/>
      </c>
      <c r="H116" s="15" t="n">
        <v>390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EXT-PG03-TRV</t>
        </is>
      </c>
      <c r="B117" s="10" t="inlineStr">
        <is>
          <t>externo</t>
        </is>
      </c>
      <c r="C117" s="11" t="inlineStr">
        <is>
          <t>Portao PG03: travessa e quadro</t>
        </is>
      </c>
      <c r="D117" s="10" t="inlineStr">
        <is>
          <t>m</t>
        </is>
      </c>
      <c r="E117" s="12" t="n">
        <v>28.2</v>
      </c>
      <c r="F117" s="13" t="n">
        <v>0</v>
      </c>
      <c r="G117" s="14">
        <f>E117*(1+F117)</f>
        <v/>
      </c>
      <c r="H117" s="15" t="n">
        <v>38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EXT-PISC-DRENO</t>
        </is>
      </c>
      <c r="B118" s="10" t="inlineStr">
        <is>
          <t>externo</t>
        </is>
      </c>
      <c r="C118" s="11" t="inlineStr">
        <is>
          <t>Piscina: dreno de fundo antiaprisionamento</t>
        </is>
      </c>
      <c r="D118" s="10" t="inlineStr">
        <is>
          <t>un</t>
        </is>
      </c>
      <c r="E118" s="12" t="n">
        <v>2</v>
      </c>
      <c r="F118" s="13" t="n">
        <v>0</v>
      </c>
      <c r="G118" s="14">
        <f>E118*(1+F118)</f>
        <v/>
      </c>
      <c r="H118" s="15" t="n">
        <v>220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EXT-PISC-AREIA</t>
        </is>
      </c>
      <c r="B119" s="10" t="inlineStr">
        <is>
          <t>externo</t>
        </is>
      </c>
      <c r="C119" s="11" t="inlineStr">
        <is>
          <t>Piscina: areia filtrante (leito de 600 mm)</t>
        </is>
      </c>
      <c r="D119" s="10" t="inlineStr">
        <is>
          <t>kg</t>
        </is>
      </c>
      <c r="E119" s="12" t="n">
        <v>188</v>
      </c>
      <c r="F119" s="13" t="n">
        <v>0</v>
      </c>
      <c r="G119" s="14">
        <f>E119*(1+F119)</f>
        <v/>
      </c>
      <c r="H119" s="15" t="n">
        <v>2.2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EXT-PG02-TRV</t>
        </is>
      </c>
      <c r="B120" s="10" t="inlineStr">
        <is>
          <t>externo</t>
        </is>
      </c>
      <c r="C120" s="11" t="inlineStr">
        <is>
          <t>Portao PG02: travessa e quadro</t>
        </is>
      </c>
      <c r="D120" s="10" t="inlineStr">
        <is>
          <t>m</t>
        </is>
      </c>
      <c r="E120" s="12" t="n">
        <v>8.9</v>
      </c>
      <c r="F120" s="13" t="n">
        <v>0</v>
      </c>
      <c r="G120" s="14">
        <f>E120*(1+F120)</f>
        <v/>
      </c>
      <c r="H120" s="15" t="n">
        <v>38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EXT-PG03-FER</t>
        </is>
      </c>
      <c r="B121" s="10" t="inlineStr">
        <is>
          <t>externo</t>
        </is>
      </c>
      <c r="C121" s="11" t="inlineStr">
        <is>
          <t>Portao PG03: dobradica reforcada</t>
        </is>
      </c>
      <c r="D121" s="10" t="inlineStr">
        <is>
          <t>un</t>
        </is>
      </c>
      <c r="E121" s="12" t="n">
        <v>6</v>
      </c>
      <c r="F121" s="13" t="n">
        <v>0</v>
      </c>
      <c r="G121" s="14">
        <f>E121*(1+F121)</f>
        <v/>
      </c>
      <c r="H121" s="15" t="n">
        <v>52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EXT-PISC-FONTE</t>
        </is>
      </c>
      <c r="B122" s="10" t="inlineStr">
        <is>
          <t>externo</t>
        </is>
      </c>
      <c r="C122" s="11" t="inlineStr">
        <is>
          <t>Piscina: fonte SELV 12 V com DR</t>
        </is>
      </c>
      <c r="D122" s="10" t="inlineStr">
        <is>
          <t>un</t>
        </is>
      </c>
      <c r="E122" s="12" t="n">
        <v>1</v>
      </c>
      <c r="F122" s="13" t="n">
        <v>0</v>
      </c>
      <c r="G122" s="14">
        <f>E122*(1+F122)</f>
        <v/>
      </c>
      <c r="H122" s="15" t="n">
        <v>260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EXT-PISC-REG</t>
        </is>
      </c>
      <c r="B123" s="10" t="inlineStr">
        <is>
          <t>externo</t>
        </is>
      </c>
      <c r="C123" s="11" t="inlineStr">
        <is>
          <t>Piscina: registro de esfera DN50</t>
        </is>
      </c>
      <c r="D123" s="10" t="inlineStr">
        <is>
          <t>un</t>
        </is>
      </c>
      <c r="E123" s="12" t="n">
        <v>5</v>
      </c>
      <c r="F123" s="13" t="n">
        <v>0</v>
      </c>
      <c r="G123" s="14">
        <f>E123*(1+F123)</f>
        <v/>
      </c>
      <c r="H123" s="15" t="n">
        <v>48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EXT-PISC-SKIM</t>
        </is>
      </c>
      <c r="B124" s="10" t="inlineStr">
        <is>
          <t>externo</t>
        </is>
      </c>
      <c r="C124" s="11" t="inlineStr">
        <is>
          <t>Piscina: skimmer de embutir</t>
        </is>
      </c>
      <c r="D124" s="10" t="inlineStr">
        <is>
          <t>un</t>
        </is>
      </c>
      <c r="E124" s="12" t="n">
        <v>1</v>
      </c>
      <c r="F124" s="13" t="n">
        <v>0</v>
      </c>
      <c r="G124" s="14">
        <f>E124*(1+F124)</f>
        <v/>
      </c>
      <c r="H124" s="15" t="n">
        <v>180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EXT-PISC-RET</t>
        </is>
      </c>
      <c r="B125" s="10" t="inlineStr">
        <is>
          <t>externo</t>
        </is>
      </c>
      <c r="C125" s="11" t="inlineStr">
        <is>
          <t>Piscina: dispositivo de retorno</t>
        </is>
      </c>
      <c r="D125" s="10" t="inlineStr">
        <is>
          <t>un</t>
        </is>
      </c>
      <c r="E125" s="12" t="n">
        <v>4</v>
      </c>
      <c r="F125" s="13" t="n">
        <v>0</v>
      </c>
      <c r="G125" s="14">
        <f>E125*(1+F125)</f>
        <v/>
      </c>
      <c r="H125" s="15" t="n">
        <v>45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EXT-PG02-FER</t>
        </is>
      </c>
      <c r="B126" s="10" t="inlineStr">
        <is>
          <t>externo</t>
        </is>
      </c>
      <c r="C126" s="11" t="inlineStr">
        <is>
          <t>Portao PG02: dobradica reforcada</t>
        </is>
      </c>
      <c r="D126" s="10" t="inlineStr">
        <is>
          <t>un</t>
        </is>
      </c>
      <c r="E126" s="12" t="n">
        <v>3</v>
      </c>
      <c r="F126" s="13" t="n">
        <v>0</v>
      </c>
      <c r="G126" s="14">
        <f>E126*(1+F126)</f>
        <v/>
      </c>
      <c r="H126" s="15" t="n">
        <v>52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EXT-PG02-FEC</t>
        </is>
      </c>
      <c r="B127" s="10" t="inlineStr">
        <is>
          <t>externo</t>
        </is>
      </c>
      <c r="C127" s="11" t="inlineStr">
        <is>
          <t>Portao PG02: fechadura</t>
        </is>
      </c>
      <c r="D127" s="10" t="inlineStr">
        <is>
          <t>un</t>
        </is>
      </c>
      <c r="E127" s="12" t="n">
        <v>1</v>
      </c>
      <c r="F127" s="13" t="n">
        <v>0</v>
      </c>
      <c r="G127" s="14">
        <f>E127*(1+F127)</f>
        <v/>
      </c>
      <c r="H127" s="15" t="n">
        <v>145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EXT-PG03-FEC</t>
        </is>
      </c>
      <c r="B128" s="10" t="inlineStr">
        <is>
          <t>externo</t>
        </is>
      </c>
      <c r="C128" s="11" t="inlineStr">
        <is>
          <t>Portao PG03: fechadura</t>
        </is>
      </c>
      <c r="D128" s="10" t="inlineStr">
        <is>
          <t>un</t>
        </is>
      </c>
      <c r="E128" s="12" t="n">
        <v>1</v>
      </c>
      <c r="F128" s="13" t="n">
        <v>0</v>
      </c>
      <c r="G128" s="14">
        <f>E128*(1+F128)</f>
        <v/>
      </c>
      <c r="H128" s="15" t="n">
        <v>145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EXT-PISC-CABO</t>
        </is>
      </c>
      <c r="B129" s="10" t="inlineStr">
        <is>
          <t>externo</t>
        </is>
      </c>
      <c r="C129" s="11" t="inlineStr">
        <is>
          <t>Piscina: cabo 12 V dos LEDs</t>
        </is>
      </c>
      <c r="D129" s="10" t="inlineStr">
        <is>
          <t>m</t>
        </is>
      </c>
      <c r="E129" s="12" t="n">
        <v>34.5</v>
      </c>
      <c r="F129" s="13" t="n">
        <v>0</v>
      </c>
      <c r="G129" s="14">
        <f>E129*(1+F129)</f>
        <v/>
      </c>
      <c r="H129" s="15" t="n">
        <v>4.2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EXT-PISC-CXP</t>
        </is>
      </c>
      <c r="B130" s="10" t="inlineStr">
        <is>
          <t>externo</t>
        </is>
      </c>
      <c r="C130" s="11" t="inlineStr">
        <is>
          <t>Piscina: caixa de passagem estanque no deck</t>
        </is>
      </c>
      <c r="D130" s="10" t="inlineStr">
        <is>
          <t>un</t>
        </is>
      </c>
      <c r="E130" s="12" t="n">
        <v>3</v>
      </c>
      <c r="F130" s="13" t="n">
        <v>0</v>
      </c>
      <c r="G130" s="14">
        <f>E130*(1+F130)</f>
        <v/>
      </c>
      <c r="H130" s="15" t="n">
        <v>35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EXT-PISC-ASP</t>
        </is>
      </c>
      <c r="B131" s="10" t="inlineStr">
        <is>
          <t>externo</t>
        </is>
      </c>
      <c r="C131" s="11" t="inlineStr">
        <is>
          <t>Piscina: tomada de aspiracao</t>
        </is>
      </c>
      <c r="D131" s="10" t="inlineStr">
        <is>
          <t>un</t>
        </is>
      </c>
      <c r="E131" s="12" t="n">
        <v>1</v>
      </c>
      <c r="F131" s="13" t="n">
        <v>0</v>
      </c>
      <c r="G131" s="14">
        <f>E131*(1+F131)</f>
        <v/>
      </c>
      <c r="H131" s="15" t="n">
        <v>60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MO-MON</t>
        </is>
      </c>
      <c r="B132" s="10" t="inlineStr">
        <is>
          <t>servico</t>
        </is>
      </c>
      <c r="C132" s="11" t="inlineStr">
        <is>
          <t>Mao de obra de montagem</t>
        </is>
      </c>
      <c r="D132" s="10" t="inlineStr">
        <is>
          <t>h</t>
        </is>
      </c>
      <c r="E132" s="12" t="n">
        <v>927.5</v>
      </c>
      <c r="F132" s="13" t="n">
        <v>0</v>
      </c>
      <c r="G132" s="14">
        <f>E132*(1+F132)</f>
        <v/>
      </c>
      <c r="H132" s="15" t="n">
        <v>42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MO-FAB</t>
        </is>
      </c>
      <c r="B133" s="10" t="inlineStr">
        <is>
          <t>servico</t>
        </is>
      </c>
      <c r="C133" s="11" t="inlineStr">
        <is>
          <t>Mao de obra de fabrica</t>
        </is>
      </c>
      <c r="D133" s="10" t="inlineStr">
        <is>
          <t>h</t>
        </is>
      </c>
      <c r="E133" s="12" t="n">
        <v>54.6</v>
      </c>
      <c r="F133" s="13" t="n">
        <v>0</v>
      </c>
      <c r="G133" s="14">
        <f>E133*(1+F133)</f>
        <v/>
      </c>
      <c r="H133" s="15" t="n">
        <v>38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MAR-ARM</t>
        </is>
      </c>
      <c r="B134" s="10" t="inlineStr">
        <is>
          <t>marcenaria</t>
        </is>
      </c>
      <c r="C134" s="11" t="inlineStr">
        <is>
          <t>Armario de MDF sob medida (frente)</t>
        </is>
      </c>
      <c r="D134" s="10" t="inlineStr">
        <is>
          <t>m2</t>
        </is>
      </c>
      <c r="E134" s="12" t="n">
        <v>48.64</v>
      </c>
      <c r="F134" s="13" t="n">
        <v>0</v>
      </c>
      <c r="G134" s="14">
        <f>E134*(1+F134)</f>
        <v/>
      </c>
      <c r="H134" s="15" t="n">
        <v>980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REV-PISO</t>
        </is>
      </c>
      <c r="B135" s="10" t="inlineStr">
        <is>
          <t>revestimento</t>
        </is>
      </c>
      <c r="C135" s="11" t="inlineStr">
        <is>
          <t>Piso interno (porcelanato retificado)</t>
        </is>
      </c>
      <c r="D135" s="10" t="inlineStr">
        <is>
          <t>m2</t>
        </is>
      </c>
      <c r="E135" s="12" t="n">
        <v>366.3</v>
      </c>
      <c r="F135" s="13" t="n">
        <v>0</v>
      </c>
      <c r="G135" s="14">
        <f>E135*(1+F135)</f>
        <v/>
      </c>
      <c r="H135" s="15" t="n">
        <v>118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FV-MODULO</t>
        </is>
      </c>
      <c r="B136" s="10" t="inlineStr">
        <is>
          <t>eletrica</t>
        </is>
      </c>
      <c r="C136" s="11" t="inlineStr">
        <is>
          <t>Modulo fotovoltaico 550 Wp</t>
        </is>
      </c>
      <c r="D136" s="10" t="inlineStr">
        <is>
          <t>un</t>
        </is>
      </c>
      <c r="E136" s="12" t="n">
        <v>30</v>
      </c>
      <c r="F136" s="13" t="n">
        <v>0</v>
      </c>
      <c r="G136" s="14">
        <f>E136*(1+F136)</f>
        <v/>
      </c>
      <c r="H136" s="15" t="n">
        <v>780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PIN-PAREDE</t>
        </is>
      </c>
      <c r="B137" s="10" t="inlineStr">
        <is>
          <t>pintura</t>
        </is>
      </c>
      <c r="C137" s="11" t="inlineStr">
        <is>
          <t>Pintura de parede interna (latex acrilico, 2 demaos)</t>
        </is>
      </c>
      <c r="D137" s="10" t="inlineStr">
        <is>
          <t>m2</t>
        </is>
      </c>
      <c r="E137" s="12" t="n">
        <v>701.7</v>
      </c>
      <c r="F137" s="13" t="n">
        <v>0</v>
      </c>
      <c r="G137" s="14">
        <f>E137*(1+F137)</f>
        <v/>
      </c>
      <c r="H137" s="15" t="n">
        <v>26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MAR-GAB</t>
        </is>
      </c>
      <c r="B138" s="10" t="inlineStr">
        <is>
          <t>marcenaria</t>
        </is>
      </c>
      <c r="C138" s="11" t="inlineStr">
        <is>
          <t>Gabinete sob bancada, sob medida</t>
        </is>
      </c>
      <c r="D138" s="10" t="inlineStr">
        <is>
          <t>m</t>
        </is>
      </c>
      <c r="E138" s="12" t="n">
        <v>11.4</v>
      </c>
      <c r="F138" s="13" t="n">
        <v>0</v>
      </c>
      <c r="G138" s="14">
        <f>E138*(1+F138)</f>
        <v/>
      </c>
      <c r="H138" s="15" t="n">
        <v>1450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REV-PAREDE</t>
        </is>
      </c>
      <c r="B139" s="10" t="inlineStr">
        <is>
          <t>revestimento</t>
        </is>
      </c>
      <c r="C139" s="11" t="inlineStr">
        <is>
          <t>Revestimento ceramico de parede em area molhada</t>
        </is>
      </c>
      <c r="D139" s="10" t="inlineStr">
        <is>
          <t>m2</t>
        </is>
      </c>
      <c r="E139" s="12" t="n">
        <v>155.5</v>
      </c>
      <c r="F139" s="13" t="n">
        <v>0</v>
      </c>
      <c r="G139" s="14">
        <f>E139*(1+F139)</f>
        <v/>
      </c>
      <c r="H139" s="15" t="n">
        <v>96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EQP-SPLIT18</t>
        </is>
      </c>
      <c r="B140" s="10" t="inlineStr">
        <is>
          <t>equipamentos</t>
        </is>
      </c>
      <c r="C140" s="11" t="inlineStr">
        <is>
          <t>Split inverter 18.000 BTU/h</t>
        </is>
      </c>
      <c r="D140" s="10" t="inlineStr">
        <is>
          <t>un</t>
        </is>
      </c>
      <c r="E140" s="12" t="n">
        <v>4</v>
      </c>
      <c r="F140" s="13" t="n">
        <v>0</v>
      </c>
      <c r="G140" s="14">
        <f>E140*(1+F140)</f>
        <v/>
      </c>
      <c r="H140" s="15" t="n">
        <v>3200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LOU-BOX</t>
        </is>
      </c>
      <c r="B141" s="10" t="inlineStr">
        <is>
          <t>loucas</t>
        </is>
      </c>
      <c r="C141" s="11" t="inlineStr">
        <is>
          <t>Box de vidro temperado 8 mm, 1.900 mm de altura</t>
        </is>
      </c>
      <c r="D141" s="10" t="inlineStr">
        <is>
          <t>m2</t>
        </is>
      </c>
      <c r="E141" s="12" t="n">
        <v>16.1</v>
      </c>
      <c r="F141" s="13" t="n">
        <v>0</v>
      </c>
      <c r="G141" s="14">
        <f>E141*(1+F141)</f>
        <v/>
      </c>
      <c r="H141" s="15" t="n">
        <v>620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REV-ARG</t>
        </is>
      </c>
      <c r="B142" s="10" t="inlineStr">
        <is>
          <t>revestimento</t>
        </is>
      </c>
      <c r="C142" s="11" t="inlineStr">
        <is>
          <t>Argamassa colante AC-III e regularizacao</t>
        </is>
      </c>
      <c r="D142" s="10" t="inlineStr">
        <is>
          <t>m2</t>
        </is>
      </c>
      <c r="E142" s="12" t="n">
        <v>521.8</v>
      </c>
      <c r="F142" s="13" t="n">
        <v>0</v>
      </c>
      <c r="G142" s="14">
        <f>E142*(1+F142)</f>
        <v/>
      </c>
      <c r="H142" s="15" t="n">
        <v>18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FV-INVERSOR</t>
        </is>
      </c>
      <c r="B143" s="10" t="inlineStr">
        <is>
          <t>eletrica</t>
        </is>
      </c>
      <c r="C143" s="11" t="inlineStr">
        <is>
          <t>Inversor string 15 kW, trifasico 220 V</t>
        </is>
      </c>
      <c r="D143" s="10" t="inlineStr">
        <is>
          <t>kW</t>
        </is>
      </c>
      <c r="E143" s="12" t="n">
        <v>15</v>
      </c>
      <c r="F143" s="13" t="n">
        <v>0</v>
      </c>
      <c r="G143" s="14">
        <f>E143*(1+F143)</f>
        <v/>
      </c>
      <c r="H143" s="15" t="n">
        <v>620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MAR-PRAT</t>
        </is>
      </c>
      <c r="B144" s="10" t="inlineStr">
        <is>
          <t>marcenaria</t>
        </is>
      </c>
      <c r="C144" s="11" t="inlineStr">
        <is>
          <t>Prateleira aberta, por metro de prateleira</t>
        </is>
      </c>
      <c r="D144" s="10" t="inlineStr">
        <is>
          <t>m</t>
        </is>
      </c>
      <c r="E144" s="12" t="n">
        <v>35.19</v>
      </c>
      <c r="F144" s="13" t="n">
        <v>0</v>
      </c>
      <c r="G144" s="14">
        <f>E144*(1+F144)</f>
        <v/>
      </c>
      <c r="H144" s="15" t="n">
        <v>260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FV-INSTAL</t>
        </is>
      </c>
      <c r="B145" s="10" t="inlineStr">
        <is>
          <t>eletrica</t>
        </is>
      </c>
      <c r="C145" s="11" t="inlineStr">
        <is>
          <t>Instalacao e comissionamento</t>
        </is>
      </c>
      <c r="D145" s="10" t="inlineStr">
        <is>
          <t>kWp</t>
        </is>
      </c>
      <c r="E145" s="12" t="n">
        <v>16.5</v>
      </c>
      <c r="F145" s="13" t="n">
        <v>0</v>
      </c>
      <c r="G145" s="14">
        <f>E145*(1+F145)</f>
        <v/>
      </c>
      <c r="H145" s="15" t="n">
        <v>550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MAR-TAMPO</t>
        </is>
      </c>
      <c r="B146" s="10" t="inlineStr">
        <is>
          <t>marcenaria</t>
        </is>
      </c>
      <c r="C146" s="11" t="inlineStr">
        <is>
          <t>Tampo de bancada (quartzo/granito)</t>
        </is>
      </c>
      <c r="D146" s="10" t="inlineStr">
        <is>
          <t>m2</t>
        </is>
      </c>
      <c r="E146" s="12" t="n">
        <v>6.84</v>
      </c>
      <c r="F146" s="13" t="n">
        <v>0</v>
      </c>
      <c r="G146" s="14">
        <f>E146*(1+F146)</f>
        <v/>
      </c>
      <c r="H146" s="15" t="n">
        <v>1250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FV-ESTRUTURA</t>
        </is>
      </c>
      <c r="B147" s="10" t="inlineStr">
        <is>
          <t>eletrica</t>
        </is>
      </c>
      <c r="C147" s="11" t="inlineStr">
        <is>
          <t>Estrutura de fixacao em aluminio sobre terca</t>
        </is>
      </c>
      <c r="D147" s="10" t="inlineStr">
        <is>
          <t>m2</t>
        </is>
      </c>
      <c r="E147" s="12" t="n">
        <v>89.09999999999999</v>
      </c>
      <c r="F147" s="13" t="n">
        <v>0</v>
      </c>
      <c r="G147" s="14">
        <f>E147*(1+F147)</f>
        <v/>
      </c>
      <c r="H147" s="15" t="n">
        <v>95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REV-RODAPE</t>
        </is>
      </c>
      <c r="B148" s="10" t="inlineStr">
        <is>
          <t>revestimento</t>
        </is>
      </c>
      <c r="C148" s="11" t="inlineStr">
        <is>
          <t>Rodape (poliestireno 100 mm, pintado)</t>
        </is>
      </c>
      <c r="D148" s="10" t="inlineStr">
        <is>
          <t>m</t>
        </is>
      </c>
      <c r="E148" s="12" t="n">
        <v>241.9</v>
      </c>
      <c r="F148" s="13" t="n">
        <v>0</v>
      </c>
      <c r="G148" s="14">
        <f>E148*(1+F148)</f>
        <v/>
      </c>
      <c r="H148" s="15" t="n">
        <v>34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PIN-TINTA</t>
        </is>
      </c>
      <c r="B149" s="10" t="inlineStr">
        <is>
          <t>pintura</t>
        </is>
      </c>
      <c r="C149" s="11" t="inlineStr">
        <is>
          <t>Tinta latex (2 demaos, rendimento 10 m2/L)</t>
        </is>
      </c>
      <c r="D149" s="10" t="inlineStr">
        <is>
          <t>L</t>
        </is>
      </c>
      <c r="E149" s="12" t="n">
        <v>193.7</v>
      </c>
      <c r="F149" s="13" t="n">
        <v>0</v>
      </c>
      <c r="G149" s="14">
        <f>E149*(1+F149)</f>
        <v/>
      </c>
      <c r="H149" s="15" t="n">
        <v>42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MAR-CABEC</t>
        </is>
      </c>
      <c r="B150" s="10" t="inlineStr">
        <is>
          <t>marcenaria</t>
        </is>
      </c>
      <c r="C150" s="11" t="inlineStr">
        <is>
          <t>Cabeceira estofada</t>
        </is>
      </c>
      <c r="D150" s="10" t="inlineStr">
        <is>
          <t>m2</t>
        </is>
      </c>
      <c r="E150" s="12" t="n">
        <v>10.96</v>
      </c>
      <c r="F150" s="13" t="n">
        <v>0</v>
      </c>
      <c r="G150" s="14">
        <f>E150*(1+F150)</f>
        <v/>
      </c>
      <c r="H150" s="15" t="n">
        <v>650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PIN-FORRO</t>
        </is>
      </c>
      <c r="B151" s="10" t="inlineStr">
        <is>
          <t>pintura</t>
        </is>
      </c>
      <c r="C151" s="11" t="inlineStr">
        <is>
          <t>Pintura de forro (latex PVA fosco)</t>
        </is>
      </c>
      <c r="D151" s="10" t="inlineStr">
        <is>
          <t>m2</t>
        </is>
      </c>
      <c r="E151" s="12" t="n">
        <v>266.8</v>
      </c>
      <c r="F151" s="13" t="n">
        <v>0</v>
      </c>
      <c r="G151" s="14">
        <f>E151*(1+F151)</f>
        <v/>
      </c>
      <c r="H151" s="15" t="n">
        <v>26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EQP-SPLIT9</t>
        </is>
      </c>
      <c r="B152" s="10" t="inlineStr">
        <is>
          <t>equipamentos</t>
        </is>
      </c>
      <c r="C152" s="11" t="inlineStr">
        <is>
          <t>Split inverter 9.000 BTU/h</t>
        </is>
      </c>
      <c r="D152" s="10" t="inlineStr">
        <is>
          <t>un</t>
        </is>
      </c>
      <c r="E152" s="12" t="n">
        <v>3</v>
      </c>
      <c r="F152" s="13" t="n">
        <v>0</v>
      </c>
      <c r="G152" s="14">
        <f>E152*(1+F152)</f>
        <v/>
      </c>
      <c r="H152" s="15" t="n">
        <v>2100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LUM-DOWNLIGHT18</t>
        </is>
      </c>
      <c r="B153" s="10" t="inlineStr">
        <is>
          <t>eletrica</t>
        </is>
      </c>
      <c r="C153" s="11" t="inlineStr">
        <is>
          <t>Downlight LED embutido 18 W</t>
        </is>
      </c>
      <c r="D153" s="10" t="inlineStr">
        <is>
          <t>un</t>
        </is>
      </c>
      <c r="E153" s="12" t="n">
        <v>45</v>
      </c>
      <c r="F153" s="13" t="n">
        <v>0</v>
      </c>
      <c r="G153" s="14">
        <f>E153*(1+F153)</f>
        <v/>
      </c>
      <c r="H153" s="15" t="n">
        <v>128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SPD-CAPTOR</t>
        </is>
      </c>
      <c r="B154" s="10" t="inlineStr">
        <is>
          <t>eletrica</t>
        </is>
      </c>
      <c r="C154" s="11" t="inlineStr">
        <is>
          <t>Captor: cabo de aluminio 70 mm2 no perimetro da cobertura</t>
        </is>
      </c>
      <c r="D154" s="10" t="inlineStr">
        <is>
          <t>m</t>
        </is>
      </c>
      <c r="E154" s="12" t="n">
        <v>147</v>
      </c>
      <c r="F154" s="13" t="n">
        <v>0</v>
      </c>
      <c r="G154" s="14">
        <f>E154*(1+F154)</f>
        <v/>
      </c>
      <c r="H154" s="15" t="n">
        <v>38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EQP-SPLIT30</t>
        </is>
      </c>
      <c r="B155" s="10" t="inlineStr">
        <is>
          <t>equipamentos</t>
        </is>
      </c>
      <c r="C155" s="11" t="inlineStr">
        <is>
          <t>Split inverter 30.000 BTU/h</t>
        </is>
      </c>
      <c r="D155" s="10" t="inlineStr">
        <is>
          <t>un</t>
        </is>
      </c>
      <c r="E155" s="12" t="n">
        <v>1</v>
      </c>
      <c r="F155" s="13" t="n">
        <v>0</v>
      </c>
      <c r="G155" s="14">
        <f>E155*(1+F155)</f>
        <v/>
      </c>
      <c r="H155" s="15" t="n">
        <v>5400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LUM-DOWNLIGHT24</t>
        </is>
      </c>
      <c r="B156" s="10" t="inlineStr">
        <is>
          <t>eletrica</t>
        </is>
      </c>
      <c r="C156" s="11" t="inlineStr">
        <is>
          <t>Downlight LED embutido 24 W</t>
        </is>
      </c>
      <c r="D156" s="10" t="inlineStr">
        <is>
          <t>un</t>
        </is>
      </c>
      <c r="E156" s="12" t="n">
        <v>31</v>
      </c>
      <c r="F156" s="13" t="n">
        <v>0</v>
      </c>
      <c r="G156" s="14">
        <f>E156*(1+F156)</f>
        <v/>
      </c>
      <c r="H156" s="15" t="n">
        <v>165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MAR-CORT</t>
        </is>
      </c>
      <c r="B157" s="10" t="inlineStr">
        <is>
          <t>marcenaria</t>
        </is>
      </c>
      <c r="C157" s="11" t="inlineStr">
        <is>
          <t>Cortina blackout com trilho, dormitorios</t>
        </is>
      </c>
      <c r="D157" s="10" t="inlineStr">
        <is>
          <t>m</t>
        </is>
      </c>
      <c r="E157" s="12" t="n">
        <v>13.2</v>
      </c>
      <c r="F157" s="13" t="n">
        <v>0</v>
      </c>
      <c r="G157" s="14">
        <f>E157*(1+F157)</f>
        <v/>
      </c>
      <c r="H157" s="15" t="n">
        <v>380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9" t="inlineStr">
        <is>
          <t>REV-REJ</t>
        </is>
      </c>
      <c r="B158" s="10" t="inlineStr">
        <is>
          <t>revestimento</t>
        </is>
      </c>
      <c r="C158" s="11" t="inlineStr">
        <is>
          <t>Rejunte epoxi/acrilico</t>
        </is>
      </c>
      <c r="D158" s="10" t="inlineStr">
        <is>
          <t>m2</t>
        </is>
      </c>
      <c r="E158" s="12" t="n">
        <v>521.8</v>
      </c>
      <c r="F158" s="13" t="n">
        <v>0</v>
      </c>
      <c r="G158" s="14">
        <f>E158*(1+F158)</f>
        <v/>
      </c>
      <c r="H158" s="15" t="n">
        <v>9</v>
      </c>
      <c r="I158" s="16">
        <f>G158*H158</f>
        <v/>
      </c>
      <c r="J158" s="17" t="n"/>
      <c r="K158" s="17" t="n"/>
      <c r="L158" s="17" t="n"/>
      <c r="M158" s="17" t="n"/>
      <c r="N158" s="17" t="n"/>
      <c r="O158" s="18">
        <f>COUNT(J158:N158)</f>
        <v/>
      </c>
      <c r="P158" s="19">
        <f>IF(O158=0,"",MIN(J158:N158))</f>
        <v/>
      </c>
      <c r="Q158" s="10">
        <f>IF(O158=0,"",INDEX($J$3:$N$3,MATCH(P158,J158:N158,0)))</f>
        <v/>
      </c>
      <c r="R158" s="16">
        <f>IF(O158=0,"",AVERAGE(J158:N158))</f>
        <v/>
      </c>
      <c r="S158" s="20">
        <f>IF(O158&lt;2,"",MAX(J158:N158)/P158)</f>
        <v/>
      </c>
      <c r="T158" s="19">
        <f>IF(O158=0,"",G158*P158)</f>
        <v/>
      </c>
      <c r="U158" s="21">
        <f>IF(OR(O158=0,I158=0),"",T158/I158-1)</f>
        <v/>
      </c>
      <c r="V158" s="18">
        <f>IF(O158=0,"PENDENTE",IF(O158&gt;=5,"COMPLETO","PARCIAL"))</f>
        <v/>
      </c>
    </row>
    <row r="159">
      <c r="A159" s="9" t="inlineStr">
        <is>
          <t>LOU-VASO</t>
        </is>
      </c>
      <c r="B159" s="10" t="inlineStr">
        <is>
          <t>loucas</t>
        </is>
      </c>
      <c r="C159" s="11" t="inlineStr">
        <is>
          <t>Bacia sanitaria com caixa acoplada</t>
        </is>
      </c>
      <c r="D159" s="10" t="inlineStr">
        <is>
          <t>un</t>
        </is>
      </c>
      <c r="E159" s="12" t="n">
        <v>5</v>
      </c>
      <c r="F159" s="13" t="n">
        <v>0</v>
      </c>
      <c r="G159" s="14">
        <f>E159*(1+F159)</f>
        <v/>
      </c>
      <c r="H159" s="15" t="n">
        <v>780</v>
      </c>
      <c r="I159" s="16">
        <f>G159*H159</f>
        <v/>
      </c>
      <c r="J159" s="17" t="n"/>
      <c r="K159" s="17" t="n"/>
      <c r="L159" s="17" t="n"/>
      <c r="M159" s="17" t="n"/>
      <c r="N159" s="17" t="n"/>
      <c r="O159" s="18">
        <f>COUNT(J159:N159)</f>
        <v/>
      </c>
      <c r="P159" s="19">
        <f>IF(O159=0,"",MIN(J159:N159))</f>
        <v/>
      </c>
      <c r="Q159" s="10">
        <f>IF(O159=0,"",INDEX($J$3:$N$3,MATCH(P159,J159:N159,0)))</f>
        <v/>
      </c>
      <c r="R159" s="16">
        <f>IF(O159=0,"",AVERAGE(J159:N159))</f>
        <v/>
      </c>
      <c r="S159" s="20">
        <f>IF(O159&lt;2,"",MAX(J159:N159)/P159)</f>
        <v/>
      </c>
      <c r="T159" s="19">
        <f>IF(O159=0,"",G159*P159)</f>
        <v/>
      </c>
      <c r="U159" s="21">
        <f>IF(OR(O159=0,I159=0),"",T159/I159-1)</f>
        <v/>
      </c>
      <c r="V159" s="18">
        <f>IF(O159=0,"PENDENTE",IF(O159&gt;=5,"COMPLETO","PARCIAL"))</f>
        <v/>
      </c>
    </row>
    <row r="160">
      <c r="A160" s="9" t="inlineStr">
        <is>
          <t>LUM-LINEAR</t>
        </is>
      </c>
      <c r="B160" s="10" t="inlineStr">
        <is>
          <t>eletrica</t>
        </is>
      </c>
      <c r="C160" s="11" t="inlineStr">
        <is>
          <t>Perfil linear LED 18 W/m com difusor (tarefa)</t>
        </is>
      </c>
      <c r="D160" s="10" t="inlineStr">
        <is>
          <t>m</t>
        </is>
      </c>
      <c r="E160" s="12" t="n">
        <v>15.6</v>
      </c>
      <c r="F160" s="13" t="n">
        <v>0</v>
      </c>
      <c r="G160" s="14">
        <f>E160*(1+F160)</f>
        <v/>
      </c>
      <c r="H160" s="15" t="n">
        <v>210</v>
      </c>
      <c r="I160" s="16">
        <f>G160*H160</f>
        <v/>
      </c>
      <c r="J160" s="17" t="n"/>
      <c r="K160" s="17" t="n"/>
      <c r="L160" s="17" t="n"/>
      <c r="M160" s="17" t="n"/>
      <c r="N160" s="17" t="n"/>
      <c r="O160" s="18">
        <f>COUNT(J160:N160)</f>
        <v/>
      </c>
      <c r="P160" s="19">
        <f>IF(O160=0,"",MIN(J160:N160))</f>
        <v/>
      </c>
      <c r="Q160" s="10">
        <f>IF(O160=0,"",INDEX($J$3:$N$3,MATCH(P160,J160:N160,0)))</f>
        <v/>
      </c>
      <c r="R160" s="16">
        <f>IF(O160=0,"",AVERAGE(J160:N160))</f>
        <v/>
      </c>
      <c r="S160" s="20">
        <f>IF(O160&lt;2,"",MAX(J160:N160)/P160)</f>
        <v/>
      </c>
      <c r="T160" s="19">
        <f>IF(O160=0,"",G160*P160)</f>
        <v/>
      </c>
      <c r="U160" s="21">
        <f>IF(OR(O160=0,I160=0),"",T160/I160-1)</f>
        <v/>
      </c>
      <c r="V160" s="18">
        <f>IF(O160=0,"PENDENTE",IF(O160&gt;=5,"COMPLETO","PARCIAL"))</f>
        <v/>
      </c>
    </row>
    <row r="161">
      <c r="A161" s="9" t="inlineStr">
        <is>
          <t>MET-TORN</t>
        </is>
      </c>
      <c r="B161" s="10" t="inlineStr">
        <is>
          <t>loucas</t>
        </is>
      </c>
      <c r="C161" s="11" t="inlineStr">
        <is>
          <t>Torneira de bancada (lavatorio e cuba)</t>
        </is>
      </c>
      <c r="D161" s="10" t="inlineStr">
        <is>
          <t>un</t>
        </is>
      </c>
      <c r="E161" s="12" t="n">
        <v>9</v>
      </c>
      <c r="F161" s="13" t="n">
        <v>0</v>
      </c>
      <c r="G161" s="14">
        <f>E161*(1+F161)</f>
        <v/>
      </c>
      <c r="H161" s="15" t="n">
        <v>340</v>
      </c>
      <c r="I161" s="16">
        <f>G161*H161</f>
        <v/>
      </c>
      <c r="J161" s="17" t="n"/>
      <c r="K161" s="17" t="n"/>
      <c r="L161" s="17" t="n"/>
      <c r="M161" s="17" t="n"/>
      <c r="N161" s="17" t="n"/>
      <c r="O161" s="18">
        <f>COUNT(J161:N161)</f>
        <v/>
      </c>
      <c r="P161" s="19">
        <f>IF(O161=0,"",MIN(J161:N161))</f>
        <v/>
      </c>
      <c r="Q161" s="10">
        <f>IF(O161=0,"",INDEX($J$3:$N$3,MATCH(P161,J161:N161,0)))</f>
        <v/>
      </c>
      <c r="R161" s="16">
        <f>IF(O161=0,"",AVERAGE(J161:N161))</f>
        <v/>
      </c>
      <c r="S161" s="20">
        <f>IF(O161&lt;2,"",MAX(J161:N161)/P161)</f>
        <v/>
      </c>
      <c r="T161" s="19">
        <f>IF(O161=0,"",G161*P161)</f>
        <v/>
      </c>
      <c r="U161" s="21">
        <f>IF(OR(O161=0,I161=0),"",T161/I161-1)</f>
        <v/>
      </c>
      <c r="V161" s="18">
        <f>IF(O161=0,"PENDENTE",IF(O161&gt;=5,"COMPLETO","PARCIAL"))</f>
        <v/>
      </c>
    </row>
    <row r="162">
      <c r="A162" s="9" t="inlineStr">
        <is>
          <t>SPD-ANEL</t>
        </is>
      </c>
      <c r="B162" s="10" t="inlineStr">
        <is>
          <t>eletrica</t>
        </is>
      </c>
      <c r="C162" s="11" t="inlineStr">
        <is>
          <t>Anel de aterramento: cobre nu 50 mm2 no perimetro do radier</t>
        </is>
      </c>
      <c r="D162" s="10" t="inlineStr">
        <is>
          <t>m</t>
        </is>
      </c>
      <c r="E162" s="12" t="n">
        <v>63.6</v>
      </c>
      <c r="F162" s="13" t="n">
        <v>0</v>
      </c>
      <c r="G162" s="14">
        <f>E162*(1+F162)</f>
        <v/>
      </c>
      <c r="H162" s="15" t="n">
        <v>46</v>
      </c>
      <c r="I162" s="16">
        <f>G162*H162</f>
        <v/>
      </c>
      <c r="J162" s="17" t="n"/>
      <c r="K162" s="17" t="n"/>
      <c r="L162" s="17" t="n"/>
      <c r="M162" s="17" t="n"/>
      <c r="N162" s="17" t="n"/>
      <c r="O162" s="18">
        <f>COUNT(J162:N162)</f>
        <v/>
      </c>
      <c r="P162" s="19">
        <f>IF(O162=0,"",MIN(J162:N162))</f>
        <v/>
      </c>
      <c r="Q162" s="10">
        <f>IF(O162=0,"",INDEX($J$3:$N$3,MATCH(P162,J162:N162,0)))</f>
        <v/>
      </c>
      <c r="R162" s="16">
        <f>IF(O162=0,"",AVERAGE(J162:N162))</f>
        <v/>
      </c>
      <c r="S162" s="20">
        <f>IF(O162&lt;2,"",MAX(J162:N162)/P162)</f>
        <v/>
      </c>
      <c r="T162" s="19">
        <f>IF(O162=0,"",G162*P162)</f>
        <v/>
      </c>
      <c r="U162" s="21">
        <f>IF(OR(O162=0,I162=0),"",T162/I162-1)</f>
        <v/>
      </c>
      <c r="V162" s="18">
        <f>IF(O162=0,"PENDENTE",IF(O162&gt;=5,"COMPLETO","PARCIAL"))</f>
        <v/>
      </c>
    </row>
    <row r="163">
      <c r="A163" s="9" t="inlineStr">
        <is>
          <t>REV-FORRO-ACUST</t>
        </is>
      </c>
      <c r="B163" s="10" t="inlineStr">
        <is>
          <t>revestimento</t>
        </is>
      </c>
      <c r="C163" s="11" t="inlineStr">
        <is>
          <t>Forro absorvente perfurado (alfa 0,70), acabado de fabrica</t>
        </is>
      </c>
      <c r="D163" s="10" t="inlineStr">
        <is>
          <t>m2</t>
        </is>
      </c>
      <c r="E163" s="12" t="n">
        <v>30.2</v>
      </c>
      <c r="F163" s="13" t="n">
        <v>0</v>
      </c>
      <c r="G163" s="14">
        <f>E163*(1+F163)</f>
        <v/>
      </c>
      <c r="H163" s="15" t="n">
        <v>96</v>
      </c>
      <c r="I163" s="16">
        <f>G163*H163</f>
        <v/>
      </c>
      <c r="J163" s="17" t="n"/>
      <c r="K163" s="17" t="n"/>
      <c r="L163" s="17" t="n"/>
      <c r="M163" s="17" t="n"/>
      <c r="N163" s="17" t="n"/>
      <c r="O163" s="18">
        <f>COUNT(J163:N163)</f>
        <v/>
      </c>
      <c r="P163" s="19">
        <f>IF(O163=0,"",MIN(J163:N163))</f>
        <v/>
      </c>
      <c r="Q163" s="10">
        <f>IF(O163=0,"",INDEX($J$3:$N$3,MATCH(P163,J163:N163,0)))</f>
        <v/>
      </c>
      <c r="R163" s="16">
        <f>IF(O163=0,"",AVERAGE(J163:N163))</f>
        <v/>
      </c>
      <c r="S163" s="20">
        <f>IF(O163&lt;2,"",MAX(J163:N163)/P163)</f>
        <v/>
      </c>
      <c r="T163" s="19">
        <f>IF(O163=0,"",G163*P163)</f>
        <v/>
      </c>
      <c r="U163" s="21">
        <f>IF(OR(O163=0,I163=0),"",T163/I163-1)</f>
        <v/>
      </c>
      <c r="V163" s="18">
        <f>IF(O163=0,"PENDENTE",IF(O163&gt;=5,"COMPLETO","PARCIAL"))</f>
        <v/>
      </c>
    </row>
    <row r="164">
      <c r="A164" s="9" t="inlineStr">
        <is>
          <t>MAR-PAINEL</t>
        </is>
      </c>
      <c r="B164" s="10" t="inlineStr">
        <is>
          <t>marcenaria</t>
        </is>
      </c>
      <c r="C164" s="11" t="inlineStr">
        <is>
          <t>Painel ripado de TV</t>
        </is>
      </c>
      <c r="D164" s="10" t="inlineStr">
        <is>
          <t>m2</t>
        </is>
      </c>
      <c r="E164" s="12" t="n">
        <v>6.71</v>
      </c>
      <c r="F164" s="13" t="n">
        <v>0</v>
      </c>
      <c r="G164" s="14">
        <f>E164*(1+F164)</f>
        <v/>
      </c>
      <c r="H164" s="15" t="n">
        <v>420</v>
      </c>
      <c r="I164" s="16">
        <f>G164*H164</f>
        <v/>
      </c>
      <c r="J164" s="17" t="n"/>
      <c r="K164" s="17" t="n"/>
      <c r="L164" s="17" t="n"/>
      <c r="M164" s="17" t="n"/>
      <c r="N164" s="17" t="n"/>
      <c r="O164" s="18">
        <f>COUNT(J164:N164)</f>
        <v/>
      </c>
      <c r="P164" s="19">
        <f>IF(O164=0,"",MIN(J164:N164))</f>
        <v/>
      </c>
      <c r="Q164" s="10">
        <f>IF(O164=0,"",INDEX($J$3:$N$3,MATCH(P164,J164:N164,0)))</f>
        <v/>
      </c>
      <c r="R164" s="16">
        <f>IF(O164=0,"",AVERAGE(J164:N164))</f>
        <v/>
      </c>
      <c r="S164" s="20">
        <f>IF(O164&lt;2,"",MAX(J164:N164)/P164)</f>
        <v/>
      </c>
      <c r="T164" s="19">
        <f>IF(O164=0,"",G164*P164)</f>
        <v/>
      </c>
      <c r="U164" s="21">
        <f>IF(OR(O164=0,I164=0),"",T164/I164-1)</f>
        <v/>
      </c>
      <c r="V164" s="18">
        <f>IF(O164=0,"PENDENTE",IF(O164&gt;=5,"COMPLETO","PARCIAL"))</f>
        <v/>
      </c>
    </row>
    <row r="165">
      <c r="A165" s="9" t="inlineStr">
        <is>
          <t>EQP-PISC</t>
        </is>
      </c>
      <c r="B165" s="10" t="inlineStr">
        <is>
          <t>equipamentos</t>
        </is>
      </c>
      <c r="C165" s="11" t="inlineStr">
        <is>
          <t>Conjunto da piscina: bomba, filtro e tratamento</t>
        </is>
      </c>
      <c r="D165" s="10" t="inlineStr">
        <is>
          <t>cj</t>
        </is>
      </c>
      <c r="E165" s="12" t="n">
        <v>1</v>
      </c>
      <c r="F165" s="13" t="n">
        <v>0</v>
      </c>
      <c r="G165" s="14">
        <f>E165*(1+F165)</f>
        <v/>
      </c>
      <c r="H165" s="15" t="n">
        <v>2800</v>
      </c>
      <c r="I165" s="16">
        <f>G165*H165</f>
        <v/>
      </c>
      <c r="J165" s="17" t="n"/>
      <c r="K165" s="17" t="n"/>
      <c r="L165" s="17" t="n"/>
      <c r="M165" s="17" t="n"/>
      <c r="N165" s="17" t="n"/>
      <c r="O165" s="18">
        <f>COUNT(J165:N165)</f>
        <v/>
      </c>
      <c r="P165" s="19">
        <f>IF(O165=0,"",MIN(J165:N165))</f>
        <v/>
      </c>
      <c r="Q165" s="10">
        <f>IF(O165=0,"",INDEX($J$3:$N$3,MATCH(P165,J165:N165,0)))</f>
        <v/>
      </c>
      <c r="R165" s="16">
        <f>IF(O165=0,"",AVERAGE(J165:N165))</f>
        <v/>
      </c>
      <c r="S165" s="20">
        <f>IF(O165&lt;2,"",MAX(J165:N165)/P165)</f>
        <v/>
      </c>
      <c r="T165" s="19">
        <f>IF(O165=0,"",G165*P165)</f>
        <v/>
      </c>
      <c r="U165" s="21">
        <f>IF(OR(O165=0,I165=0),"",T165/I165-1)</f>
        <v/>
      </c>
      <c r="V165" s="18">
        <f>IF(O165=0,"PENDENTE",IF(O165&gt;=5,"COMPLETO","PARCIAL"))</f>
        <v/>
      </c>
    </row>
    <row r="166">
      <c r="A166" s="9" t="inlineStr">
        <is>
          <t>LOU-LAV</t>
        </is>
      </c>
      <c r="B166" s="10" t="inlineStr">
        <is>
          <t>loucas</t>
        </is>
      </c>
      <c r="C166" s="11" t="inlineStr">
        <is>
          <t>Lavatorio / cuba de banheiro</t>
        </is>
      </c>
      <c r="D166" s="10" t="inlineStr">
        <is>
          <t>un</t>
        </is>
      </c>
      <c r="E166" s="12" t="n">
        <v>6</v>
      </c>
      <c r="F166" s="13" t="n">
        <v>0</v>
      </c>
      <c r="G166" s="14">
        <f>E166*(1+F166)</f>
        <v/>
      </c>
      <c r="H166" s="15" t="n">
        <v>420</v>
      </c>
      <c r="I166" s="16">
        <f>G166*H166</f>
        <v/>
      </c>
      <c r="J166" s="17" t="n"/>
      <c r="K166" s="17" t="n"/>
      <c r="L166" s="17" t="n"/>
      <c r="M166" s="17" t="n"/>
      <c r="N166" s="17" t="n"/>
      <c r="O166" s="18">
        <f>COUNT(J166:N166)</f>
        <v/>
      </c>
      <c r="P166" s="19">
        <f>IF(O166=0,"",MIN(J166:N166))</f>
        <v/>
      </c>
      <c r="Q166" s="10">
        <f>IF(O166=0,"",INDEX($J$3:$N$3,MATCH(P166,J166:N166,0)))</f>
        <v/>
      </c>
      <c r="R166" s="16">
        <f>IF(O166=0,"",AVERAGE(J166:N166))</f>
        <v/>
      </c>
      <c r="S166" s="20">
        <f>IF(O166&lt;2,"",MAX(J166:N166)/P166)</f>
        <v/>
      </c>
      <c r="T166" s="19">
        <f>IF(O166=0,"",G166*P166)</f>
        <v/>
      </c>
      <c r="U166" s="21">
        <f>IF(OR(O166=0,I166=0),"",T166/I166-1)</f>
        <v/>
      </c>
      <c r="V166" s="18">
        <f>IF(O166=0,"PENDENTE",IF(O166&gt;=5,"COMPLETO","PARCIAL"))</f>
        <v/>
      </c>
    </row>
    <row r="167">
      <c r="A167" s="9" t="inlineStr">
        <is>
          <t>ELE-TUG</t>
        </is>
      </c>
      <c r="B167" s="10" t="inlineStr">
        <is>
          <t>eletrica</t>
        </is>
      </c>
      <c r="C167" s="11" t="inlineStr">
        <is>
          <t>Tomada 2P+T 10 A com placa</t>
        </is>
      </c>
      <c r="D167" s="10" t="inlineStr">
        <is>
          <t>un</t>
        </is>
      </c>
      <c r="E167" s="12" t="n">
        <v>87</v>
      </c>
      <c r="F167" s="13" t="n">
        <v>0</v>
      </c>
      <c r="G167" s="14">
        <f>E167*(1+F167)</f>
        <v/>
      </c>
      <c r="H167" s="15" t="n">
        <v>28</v>
      </c>
      <c r="I167" s="16">
        <f>G167*H167</f>
        <v/>
      </c>
      <c r="J167" s="17" t="n"/>
      <c r="K167" s="17" t="n"/>
      <c r="L167" s="17" t="n"/>
      <c r="M167" s="17" t="n"/>
      <c r="N167" s="17" t="n"/>
      <c r="O167" s="18">
        <f>COUNT(J167:N167)</f>
        <v/>
      </c>
      <c r="P167" s="19">
        <f>IF(O167=0,"",MIN(J167:N167))</f>
        <v/>
      </c>
      <c r="Q167" s="10">
        <f>IF(O167=0,"",INDEX($J$3:$N$3,MATCH(P167,J167:N167,0)))</f>
        <v/>
      </c>
      <c r="R167" s="16">
        <f>IF(O167=0,"",AVERAGE(J167:N167))</f>
        <v/>
      </c>
      <c r="S167" s="20">
        <f>IF(O167&lt;2,"",MAX(J167:N167)/P167)</f>
        <v/>
      </c>
      <c r="T167" s="19">
        <f>IF(O167=0,"",G167*P167)</f>
        <v/>
      </c>
      <c r="U167" s="21">
        <f>IF(OR(O167=0,I167=0),"",T167/I167-1)</f>
        <v/>
      </c>
      <c r="V167" s="18">
        <f>IF(O167=0,"PENDENTE",IF(O167&gt;=5,"COMPLETO","PARCIAL"))</f>
        <v/>
      </c>
    </row>
    <row r="168">
      <c r="A168" s="9" t="inlineStr">
        <is>
          <t>EQP-PORTAO</t>
        </is>
      </c>
      <c r="B168" s="10" t="inlineStr">
        <is>
          <t>equipamentos</t>
        </is>
      </c>
      <c r="C168" s="11" t="inlineStr">
        <is>
          <t>Automatizador de portao de correr</t>
        </is>
      </c>
      <c r="D168" s="10" t="inlineStr">
        <is>
          <t>un</t>
        </is>
      </c>
      <c r="E168" s="12" t="n">
        <v>1</v>
      </c>
      <c r="F168" s="13" t="n">
        <v>0</v>
      </c>
      <c r="G168" s="14">
        <f>E168*(1+F168)</f>
        <v/>
      </c>
      <c r="H168" s="15" t="n">
        <v>2400</v>
      </c>
      <c r="I168" s="16">
        <f>G168*H168</f>
        <v/>
      </c>
      <c r="J168" s="17" t="n"/>
      <c r="K168" s="17" t="n"/>
      <c r="L168" s="17" t="n"/>
      <c r="M168" s="17" t="n"/>
      <c r="N168" s="17" t="n"/>
      <c r="O168" s="18">
        <f>COUNT(J168:N168)</f>
        <v/>
      </c>
      <c r="P168" s="19">
        <f>IF(O168=0,"",MIN(J168:N168))</f>
        <v/>
      </c>
      <c r="Q168" s="10">
        <f>IF(O168=0,"",INDEX($J$3:$N$3,MATCH(P168,J168:N168,0)))</f>
        <v/>
      </c>
      <c r="R168" s="16">
        <f>IF(O168=0,"",AVERAGE(J168:N168))</f>
        <v/>
      </c>
      <c r="S168" s="20">
        <f>IF(O168&lt;2,"",MAX(J168:N168)/P168)</f>
        <v/>
      </c>
      <c r="T168" s="19">
        <f>IF(O168=0,"",G168*P168)</f>
        <v/>
      </c>
      <c r="U168" s="21">
        <f>IF(OR(O168=0,I168=0),"",T168/I168-1)</f>
        <v/>
      </c>
      <c r="V168" s="18">
        <f>IF(O168=0,"PENDENTE",IF(O168&gt;=5,"COMPLETO","PARCIAL"))</f>
        <v/>
      </c>
    </row>
    <row r="169">
      <c r="A169" s="9" t="inlineStr">
        <is>
          <t>MET-ACESS</t>
        </is>
      </c>
      <c r="B169" s="10" t="inlineStr">
        <is>
          <t>loucas</t>
        </is>
      </c>
      <c r="C169" s="11" t="inlineStr">
        <is>
          <t>Acessorios (papeleira, cabide, saboneteira, toalheiro)</t>
        </is>
      </c>
      <c r="D169" s="10" t="inlineStr">
        <is>
          <t>un</t>
        </is>
      </c>
      <c r="E169" s="12" t="n">
        <v>28</v>
      </c>
      <c r="F169" s="13" t="n">
        <v>0</v>
      </c>
      <c r="G169" s="14">
        <f>E169*(1+F169)</f>
        <v/>
      </c>
      <c r="H169" s="15" t="n">
        <v>85</v>
      </c>
      <c r="I169" s="16">
        <f>G169*H169</f>
        <v/>
      </c>
      <c r="J169" s="17" t="n"/>
      <c r="K169" s="17" t="n"/>
      <c r="L169" s="17" t="n"/>
      <c r="M169" s="17" t="n"/>
      <c r="N169" s="17" t="n"/>
      <c r="O169" s="18">
        <f>COUNT(J169:N169)</f>
        <v/>
      </c>
      <c r="P169" s="19">
        <f>IF(O169=0,"",MIN(J169:N169))</f>
        <v/>
      </c>
      <c r="Q169" s="10">
        <f>IF(O169=0,"",INDEX($J$3:$N$3,MATCH(P169,J169:N169,0)))</f>
        <v/>
      </c>
      <c r="R169" s="16">
        <f>IF(O169=0,"",AVERAGE(J169:N169))</f>
        <v/>
      </c>
      <c r="S169" s="20">
        <f>IF(O169&lt;2,"",MAX(J169:N169)/P169)</f>
        <v/>
      </c>
      <c r="T169" s="19">
        <f>IF(O169=0,"",G169*P169)</f>
        <v/>
      </c>
      <c r="U169" s="21">
        <f>IF(OR(O169=0,I169=0),"",T169/I169-1)</f>
        <v/>
      </c>
      <c r="V169" s="18">
        <f>IF(O169=0,"PENDENTE",IF(O169&gt;=5,"COMPLETO","PARCIAL"))</f>
        <v/>
      </c>
    </row>
    <row r="170">
      <c r="A170" s="9" t="inlineStr">
        <is>
          <t>PIN-SELADOR</t>
        </is>
      </c>
      <c r="B170" s="10" t="inlineStr">
        <is>
          <t>pintura</t>
        </is>
      </c>
      <c r="C170" s="11" t="inlineStr">
        <is>
          <t>Selador acrilico</t>
        </is>
      </c>
      <c r="D170" s="10" t="inlineStr">
        <is>
          <t>L</t>
        </is>
      </c>
      <c r="E170" s="12" t="n">
        <v>80.7</v>
      </c>
      <c r="F170" s="13" t="n">
        <v>0</v>
      </c>
      <c r="G170" s="14">
        <f>E170*(1+F170)</f>
        <v/>
      </c>
      <c r="H170" s="15" t="n">
        <v>28</v>
      </c>
      <c r="I170" s="16">
        <f>G170*H170</f>
        <v/>
      </c>
      <c r="J170" s="17" t="n"/>
      <c r="K170" s="17" t="n"/>
      <c r="L170" s="17" t="n"/>
      <c r="M170" s="17" t="n"/>
      <c r="N170" s="17" t="n"/>
      <c r="O170" s="18">
        <f>COUNT(J170:N170)</f>
        <v/>
      </c>
      <c r="P170" s="19">
        <f>IF(O170=0,"",MIN(J170:N170))</f>
        <v/>
      </c>
      <c r="Q170" s="10">
        <f>IF(O170=0,"",INDEX($J$3:$N$3,MATCH(P170,J170:N170,0)))</f>
        <v/>
      </c>
      <c r="R170" s="16">
        <f>IF(O170=0,"",AVERAGE(J170:N170))</f>
        <v/>
      </c>
      <c r="S170" s="20">
        <f>IF(O170&lt;2,"",MAX(J170:N170)/P170)</f>
        <v/>
      </c>
      <c r="T170" s="19">
        <f>IF(O170=0,"",G170*P170)</f>
        <v/>
      </c>
      <c r="U170" s="21">
        <f>IF(OR(O170=0,I170=0),"",T170/I170-1)</f>
        <v/>
      </c>
      <c r="V170" s="18">
        <f>IF(O170=0,"PENDENTE",IF(O170&gt;=5,"COMPLETO","PARCIAL"))</f>
        <v/>
      </c>
    </row>
    <row r="171">
      <c r="A171" s="9" t="inlineStr">
        <is>
          <t>LOU-CUBA</t>
        </is>
      </c>
      <c r="B171" s="10" t="inlineStr">
        <is>
          <t>loucas</t>
        </is>
      </c>
      <c r="C171" s="11" t="inlineStr">
        <is>
          <t>Cuba de cozinha / gourmet / lavanderia em inox</t>
        </is>
      </c>
      <c r="D171" s="10" t="inlineStr">
        <is>
          <t>un</t>
        </is>
      </c>
      <c r="E171" s="12" t="n">
        <v>3</v>
      </c>
      <c r="F171" s="13" t="n">
        <v>0</v>
      </c>
      <c r="G171" s="14">
        <f>E171*(1+F171)</f>
        <v/>
      </c>
      <c r="H171" s="15" t="n">
        <v>690</v>
      </c>
      <c r="I171" s="16">
        <f>G171*H171</f>
        <v/>
      </c>
      <c r="J171" s="17" t="n"/>
      <c r="K171" s="17" t="n"/>
      <c r="L171" s="17" t="n"/>
      <c r="M171" s="17" t="n"/>
      <c r="N171" s="17" t="n"/>
      <c r="O171" s="18">
        <f>COUNT(J171:N171)</f>
        <v/>
      </c>
      <c r="P171" s="19">
        <f>IF(O171=0,"",MIN(J171:N171))</f>
        <v/>
      </c>
      <c r="Q171" s="10">
        <f>IF(O171=0,"",INDEX($J$3:$N$3,MATCH(P171,J171:N171,0)))</f>
        <v/>
      </c>
      <c r="R171" s="16">
        <f>IF(O171=0,"",AVERAGE(J171:N171))</f>
        <v/>
      </c>
      <c r="S171" s="20">
        <f>IF(O171&lt;2,"",MAX(J171:N171)/P171)</f>
        <v/>
      </c>
      <c r="T171" s="19">
        <f>IF(O171=0,"",G171*P171)</f>
        <v/>
      </c>
      <c r="U171" s="21">
        <f>IF(OR(O171=0,I171=0),"",T171/I171-1)</f>
        <v/>
      </c>
      <c r="V171" s="18">
        <f>IF(O171=0,"PENDENTE",IF(O171&gt;=5,"COMPLETO","PARCIAL"))</f>
        <v/>
      </c>
    </row>
    <row r="172">
      <c r="A172" s="9" t="inlineStr">
        <is>
          <t>EQP-EXAUST</t>
        </is>
      </c>
      <c r="B172" s="10" t="inlineStr">
        <is>
          <t>equipamentos</t>
        </is>
      </c>
      <c r="C172" s="11" t="inlineStr">
        <is>
          <t>Exaustor / coifa</t>
        </is>
      </c>
      <c r="D172" s="10" t="inlineStr">
        <is>
          <t>un</t>
        </is>
      </c>
      <c r="E172" s="12" t="n">
        <v>7</v>
      </c>
      <c r="F172" s="13" t="n">
        <v>0</v>
      </c>
      <c r="G172" s="14">
        <f>E172*(1+F172)</f>
        <v/>
      </c>
      <c r="H172" s="15" t="n">
        <v>260</v>
      </c>
      <c r="I172" s="16">
        <f>G172*H172</f>
        <v/>
      </c>
      <c r="J172" s="17" t="n"/>
      <c r="K172" s="17" t="n"/>
      <c r="L172" s="17" t="n"/>
      <c r="M172" s="17" t="n"/>
      <c r="N172" s="17" t="n"/>
      <c r="O172" s="18">
        <f>COUNT(J172:N172)</f>
        <v/>
      </c>
      <c r="P172" s="19">
        <f>IF(O172=0,"",MIN(J172:N172))</f>
        <v/>
      </c>
      <c r="Q172" s="10">
        <f>IF(O172=0,"",INDEX($J$3:$N$3,MATCH(P172,J172:N172,0)))</f>
        <v/>
      </c>
      <c r="R172" s="16">
        <f>IF(O172=0,"",AVERAGE(J172:N172))</f>
        <v/>
      </c>
      <c r="S172" s="20">
        <f>IF(O172&lt;2,"",MAX(J172:N172)/P172)</f>
        <v/>
      </c>
      <c r="T172" s="19">
        <f>IF(O172=0,"",G172*P172)</f>
        <v/>
      </c>
      <c r="U172" s="21">
        <f>IF(OR(O172=0,I172=0),"",T172/I172-1)</f>
        <v/>
      </c>
      <c r="V172" s="18">
        <f>IF(O172=0,"PENDENTE",IF(O172&gt;=5,"COMPLETO","PARCIAL"))</f>
        <v/>
      </c>
    </row>
    <row r="173">
      <c r="A173" s="9" t="inlineStr">
        <is>
          <t>FV-HOMOLOG</t>
        </is>
      </c>
      <c r="B173" s="10" t="inlineStr">
        <is>
          <t>eletrica</t>
        </is>
      </c>
      <c r="C173" s="11" t="inlineStr">
        <is>
          <t>Projeto e homologacao na concessionaria (REN 1.000)</t>
        </is>
      </c>
      <c r="D173" s="10" t="inlineStr">
        <is>
          <t>un</t>
        </is>
      </c>
      <c r="E173" s="12" t="n">
        <v>1</v>
      </c>
      <c r="F173" s="13" t="n">
        <v>0</v>
      </c>
      <c r="G173" s="14">
        <f>E173*(1+F173)</f>
        <v/>
      </c>
      <c r="H173" s="15" t="n">
        <v>1800</v>
      </c>
      <c r="I173" s="16">
        <f>G173*H173</f>
        <v/>
      </c>
      <c r="J173" s="17" t="n"/>
      <c r="K173" s="17" t="n"/>
      <c r="L173" s="17" t="n"/>
      <c r="M173" s="17" t="n"/>
      <c r="N173" s="17" t="n"/>
      <c r="O173" s="18">
        <f>COUNT(J173:N173)</f>
        <v/>
      </c>
      <c r="P173" s="19">
        <f>IF(O173=0,"",MIN(J173:N173))</f>
        <v/>
      </c>
      <c r="Q173" s="10">
        <f>IF(O173=0,"",INDEX($J$3:$N$3,MATCH(P173,J173:N173,0)))</f>
        <v/>
      </c>
      <c r="R173" s="16">
        <f>IF(O173=0,"",AVERAGE(J173:N173))</f>
        <v/>
      </c>
      <c r="S173" s="20">
        <f>IF(O173&lt;2,"",MAX(J173:N173)/P173)</f>
        <v/>
      </c>
      <c r="T173" s="19">
        <f>IF(O173=0,"",G173*P173)</f>
        <v/>
      </c>
      <c r="U173" s="21">
        <f>IF(OR(O173=0,I173=0),"",T173/I173-1)</f>
        <v/>
      </c>
      <c r="V173" s="18">
        <f>IF(O173=0,"PENDENTE",IF(O173&gt;=5,"COMPLETO","PARCIAL"))</f>
        <v/>
      </c>
    </row>
    <row r="174">
      <c r="A174" s="9" t="inlineStr">
        <is>
          <t>LUM-SOBREPOR24</t>
        </is>
      </c>
      <c r="B174" s="10" t="inlineStr">
        <is>
          <t>eletrica</t>
        </is>
      </c>
      <c r="C174" s="11" t="inlineStr">
        <is>
          <t>Plafon LED de sobrepor 24 W</t>
        </is>
      </c>
      <c r="D174" s="10" t="inlineStr">
        <is>
          <t>un</t>
        </is>
      </c>
      <c r="E174" s="12" t="n">
        <v>10</v>
      </c>
      <c r="F174" s="13" t="n">
        <v>0</v>
      </c>
      <c r="G174" s="14">
        <f>E174*(1+F174)</f>
        <v/>
      </c>
      <c r="H174" s="15" t="n">
        <v>175</v>
      </c>
      <c r="I174" s="16">
        <f>G174*H174</f>
        <v/>
      </c>
      <c r="J174" s="17" t="n"/>
      <c r="K174" s="17" t="n"/>
      <c r="L174" s="17" t="n"/>
      <c r="M174" s="17" t="n"/>
      <c r="N174" s="17" t="n"/>
      <c r="O174" s="18">
        <f>COUNT(J174:N174)</f>
        <v/>
      </c>
      <c r="P174" s="19">
        <f>IF(O174=0,"",MIN(J174:N174))</f>
        <v/>
      </c>
      <c r="Q174" s="10">
        <f>IF(O174=0,"",INDEX($J$3:$N$3,MATCH(P174,J174:N174,0)))</f>
        <v/>
      </c>
      <c r="R174" s="16">
        <f>IF(O174=0,"",AVERAGE(J174:N174))</f>
        <v/>
      </c>
      <c r="S174" s="20">
        <f>IF(O174&lt;2,"",MAX(J174:N174)/P174)</f>
        <v/>
      </c>
      <c r="T174" s="19">
        <f>IF(O174=0,"",G174*P174)</f>
        <v/>
      </c>
      <c r="U174" s="21">
        <f>IF(OR(O174=0,I174=0),"",T174/I174-1)</f>
        <v/>
      </c>
      <c r="V174" s="18">
        <f>IF(O174=0,"PENDENTE",IF(O174&gt;=5,"COMPLETO","PARCIAL"))</f>
        <v/>
      </c>
    </row>
    <row r="175">
      <c r="A175" s="9" t="inlineStr">
        <is>
          <t>REV-NICHO</t>
        </is>
      </c>
      <c r="B175" s="10" t="inlineStr">
        <is>
          <t>loucas</t>
        </is>
      </c>
      <c r="C175" s="11" t="inlineStr">
        <is>
          <t>Nicho de box 300 x 900 mm entre montantes (RU + ceramica)</t>
        </is>
      </c>
      <c r="D175" s="10" t="inlineStr">
        <is>
          <t>un</t>
        </is>
      </c>
      <c r="E175" s="12" t="n">
        <v>4</v>
      </c>
      <c r="F175" s="13" t="n">
        <v>0</v>
      </c>
      <c r="G175" s="14">
        <f>E175*(1+F175)</f>
        <v/>
      </c>
      <c r="H175" s="15" t="n">
        <v>420</v>
      </c>
      <c r="I175" s="16">
        <f>G175*H175</f>
        <v/>
      </c>
      <c r="J175" s="17" t="n"/>
      <c r="K175" s="17" t="n"/>
      <c r="L175" s="17" t="n"/>
      <c r="M175" s="17" t="n"/>
      <c r="N175" s="17" t="n"/>
      <c r="O175" s="18">
        <f>COUNT(J175:N175)</f>
        <v/>
      </c>
      <c r="P175" s="19">
        <f>IF(O175=0,"",MIN(J175:N175))</f>
        <v/>
      </c>
      <c r="Q175" s="10">
        <f>IF(O175=0,"",INDEX($J$3:$N$3,MATCH(P175,J175:N175,0)))</f>
        <v/>
      </c>
      <c r="R175" s="16">
        <f>IF(O175=0,"",AVERAGE(J175:N175))</f>
        <v/>
      </c>
      <c r="S175" s="20">
        <f>IF(O175&lt;2,"",MAX(J175:N175)/P175)</f>
        <v/>
      </c>
      <c r="T175" s="19">
        <f>IF(O175=0,"",G175*P175)</f>
        <v/>
      </c>
      <c r="U175" s="21">
        <f>IF(OR(O175=0,I175=0),"",T175/I175-1)</f>
        <v/>
      </c>
      <c r="V175" s="18">
        <f>IF(O175=0,"PENDENTE",IF(O175&gt;=5,"COMPLETO","PARCIAL"))</f>
        <v/>
      </c>
    </row>
    <row r="176">
      <c r="A176" s="9" t="inlineStr">
        <is>
          <t>MET-REG</t>
        </is>
      </c>
      <c r="B176" s="10" t="inlineStr">
        <is>
          <t>loucas</t>
        </is>
      </c>
      <c r="C176" s="11" t="inlineStr">
        <is>
          <t>Registro de gaveta e de pressao</t>
        </is>
      </c>
      <c r="D176" s="10" t="inlineStr">
        <is>
          <t>un</t>
        </is>
      </c>
      <c r="E176" s="12" t="n">
        <v>14</v>
      </c>
      <c r="F176" s="13" t="n">
        <v>0</v>
      </c>
      <c r="G176" s="14">
        <f>E176*(1+F176)</f>
        <v/>
      </c>
      <c r="H176" s="15" t="n">
        <v>95</v>
      </c>
      <c r="I176" s="16">
        <f>G176*H176</f>
        <v/>
      </c>
      <c r="J176" s="17" t="n"/>
      <c r="K176" s="17" t="n"/>
      <c r="L176" s="17" t="n"/>
      <c r="M176" s="17" t="n"/>
      <c r="N176" s="17" t="n"/>
      <c r="O176" s="18">
        <f>COUNT(J176:N176)</f>
        <v/>
      </c>
      <c r="P176" s="19">
        <f>IF(O176=0,"",MIN(J176:N176))</f>
        <v/>
      </c>
      <c r="Q176" s="10">
        <f>IF(O176=0,"",INDEX($J$3:$N$3,MATCH(P176,J176:N176,0)))</f>
        <v/>
      </c>
      <c r="R176" s="16">
        <f>IF(O176=0,"",AVERAGE(J176:N176))</f>
        <v/>
      </c>
      <c r="S176" s="20">
        <f>IF(O176&lt;2,"",MAX(J176:N176)/P176)</f>
        <v/>
      </c>
      <c r="T176" s="19">
        <f>IF(O176=0,"",G176*P176)</f>
        <v/>
      </c>
      <c r="U176" s="21">
        <f>IF(OR(O176=0,I176=0),"",T176/I176-1)</f>
        <v/>
      </c>
      <c r="V176" s="18">
        <f>IF(O176=0,"PENDENTE",IF(O176&gt;=5,"COMPLETO","PARCIAL"))</f>
        <v/>
      </c>
    </row>
    <row r="177">
      <c r="A177" s="9" t="inlineStr">
        <is>
          <t>MET-CHUV</t>
        </is>
      </c>
      <c r="B177" s="10" t="inlineStr">
        <is>
          <t>loucas</t>
        </is>
      </c>
      <c r="C177" s="11" t="inlineStr">
        <is>
          <t>Chuveiro eletrico 220 V</t>
        </is>
      </c>
      <c r="D177" s="10" t="inlineStr">
        <is>
          <t>un</t>
        </is>
      </c>
      <c r="E177" s="12" t="n">
        <v>4</v>
      </c>
      <c r="F177" s="13" t="n">
        <v>0</v>
      </c>
      <c r="G177" s="14">
        <f>E177*(1+F177)</f>
        <v/>
      </c>
      <c r="H177" s="15" t="n">
        <v>320</v>
      </c>
      <c r="I177" s="16">
        <f>G177*H177</f>
        <v/>
      </c>
      <c r="J177" s="17" t="n"/>
      <c r="K177" s="17" t="n"/>
      <c r="L177" s="17" t="n"/>
      <c r="M177" s="17" t="n"/>
      <c r="N177" s="17" t="n"/>
      <c r="O177" s="18">
        <f>COUNT(J177:N177)</f>
        <v/>
      </c>
      <c r="P177" s="19">
        <f>IF(O177=0,"",MIN(J177:N177))</f>
        <v/>
      </c>
      <c r="Q177" s="10">
        <f>IF(O177=0,"",INDEX($J$3:$N$3,MATCH(P177,J177:N177,0)))</f>
        <v/>
      </c>
      <c r="R177" s="16">
        <f>IF(O177=0,"",AVERAGE(J177:N177))</f>
        <v/>
      </c>
      <c r="S177" s="20">
        <f>IF(O177&lt;2,"",MAX(J177:N177)/P177)</f>
        <v/>
      </c>
      <c r="T177" s="19">
        <f>IF(O177=0,"",G177*P177)</f>
        <v/>
      </c>
      <c r="U177" s="21">
        <f>IF(OR(O177=0,I177=0),"",T177/I177-1)</f>
        <v/>
      </c>
      <c r="V177" s="18">
        <f>IF(O177=0,"PENDENTE",IF(O177&gt;=5,"COMPLETO","PARCIAL"))</f>
        <v/>
      </c>
    </row>
    <row r="178">
      <c r="A178" s="9" t="inlineStr">
        <is>
          <t>ELE-DR</t>
        </is>
      </c>
      <c r="B178" s="10" t="inlineStr">
        <is>
          <t>eletrica</t>
        </is>
      </c>
      <c r="C178" s="11" t="inlineStr">
        <is>
          <t>Disjuntor diferencial residual 30 mA</t>
        </is>
      </c>
      <c r="D178" s="10" t="inlineStr">
        <is>
          <t>un</t>
        </is>
      </c>
      <c r="E178" s="12" t="n">
        <v>6</v>
      </c>
      <c r="F178" s="13" t="n">
        <v>0</v>
      </c>
      <c r="G178" s="14">
        <f>E178*(1+F178)</f>
        <v/>
      </c>
      <c r="H178" s="15" t="n">
        <v>180</v>
      </c>
      <c r="I178" s="16">
        <f>G178*H178</f>
        <v/>
      </c>
      <c r="J178" s="17" t="n"/>
      <c r="K178" s="17" t="n"/>
      <c r="L178" s="17" t="n"/>
      <c r="M178" s="17" t="n"/>
      <c r="N178" s="17" t="n"/>
      <c r="O178" s="18">
        <f>COUNT(J178:N178)</f>
        <v/>
      </c>
      <c r="P178" s="19">
        <f>IF(O178=0,"",MIN(J178:N178))</f>
        <v/>
      </c>
      <c r="Q178" s="10">
        <f>IF(O178=0,"",INDEX($J$3:$N$3,MATCH(P178,J178:N178,0)))</f>
        <v/>
      </c>
      <c r="R178" s="16">
        <f>IF(O178=0,"",AVERAGE(J178:N178))</f>
        <v/>
      </c>
      <c r="S178" s="20">
        <f>IF(O178&lt;2,"",MAX(J178:N178)/P178)</f>
        <v/>
      </c>
      <c r="T178" s="19">
        <f>IF(O178=0,"",G178*P178)</f>
        <v/>
      </c>
      <c r="U178" s="21">
        <f>IF(OR(O178=0,I178=0),"",T178/I178-1)</f>
        <v/>
      </c>
      <c r="V178" s="18">
        <f>IF(O178=0,"PENDENTE",IF(O178&gt;=5,"COMPLETO","PARCIAL"))</f>
        <v/>
      </c>
    </row>
    <row r="179">
      <c r="A179" s="9" t="inlineStr">
        <is>
          <t>MET-DUCHA</t>
        </is>
      </c>
      <c r="B179" s="10" t="inlineStr">
        <is>
          <t>loucas</t>
        </is>
      </c>
      <c r="C179" s="11" t="inlineStr">
        <is>
          <t>Ducha higienica com registro</t>
        </is>
      </c>
      <c r="D179" s="10" t="inlineStr">
        <is>
          <t>un</t>
        </is>
      </c>
      <c r="E179" s="12" t="n">
        <v>5</v>
      </c>
      <c r="F179" s="13" t="n">
        <v>0</v>
      </c>
      <c r="G179" s="14">
        <f>E179*(1+F179)</f>
        <v/>
      </c>
      <c r="H179" s="15" t="n">
        <v>210</v>
      </c>
      <c r="I179" s="16">
        <f>G179*H179</f>
        <v/>
      </c>
      <c r="J179" s="17" t="n"/>
      <c r="K179" s="17" t="n"/>
      <c r="L179" s="17" t="n"/>
      <c r="M179" s="17" t="n"/>
      <c r="N179" s="17" t="n"/>
      <c r="O179" s="18">
        <f>COUNT(J179:N179)</f>
        <v/>
      </c>
      <c r="P179" s="19">
        <f>IF(O179=0,"",MIN(J179:N179))</f>
        <v/>
      </c>
      <c r="Q179" s="10">
        <f>IF(O179=0,"",INDEX($J$3:$N$3,MATCH(P179,J179:N179,0)))</f>
        <v/>
      </c>
      <c r="R179" s="16">
        <f>IF(O179=0,"",AVERAGE(J179:N179))</f>
        <v/>
      </c>
      <c r="S179" s="20">
        <f>IF(O179&lt;2,"",MAX(J179:N179)/P179)</f>
        <v/>
      </c>
      <c r="T179" s="19">
        <f>IF(O179=0,"",G179*P179)</f>
        <v/>
      </c>
      <c r="U179" s="21">
        <f>IF(OR(O179=0,I179=0),"",T179/I179-1)</f>
        <v/>
      </c>
      <c r="V179" s="18">
        <f>IF(O179=0,"PENDENTE",IF(O179&gt;=5,"COMPLETO","PARCIAL"))</f>
        <v/>
      </c>
    </row>
    <row r="180">
      <c r="A180" s="9" t="inlineStr">
        <is>
          <t>SPD-DESCIDA</t>
        </is>
      </c>
      <c r="B180" s="10" t="inlineStr">
        <is>
          <t>eletrica</t>
        </is>
      </c>
      <c r="C180" s="11" t="inlineStr">
        <is>
          <t>Descida natural pela estrutura LSF: conector de teste e ligacao</t>
        </is>
      </c>
      <c r="D180" s="10" t="inlineStr">
        <is>
          <t>un</t>
        </is>
      </c>
      <c r="E180" s="12" t="n">
        <v>4</v>
      </c>
      <c r="F180" s="13" t="n">
        <v>0</v>
      </c>
      <c r="G180" s="14">
        <f>E180*(1+F180)</f>
        <v/>
      </c>
      <c r="H180" s="15" t="n">
        <v>260</v>
      </c>
      <c r="I180" s="16">
        <f>G180*H180</f>
        <v/>
      </c>
      <c r="J180" s="17" t="n"/>
      <c r="K180" s="17" t="n"/>
      <c r="L180" s="17" t="n"/>
      <c r="M180" s="17" t="n"/>
      <c r="N180" s="17" t="n"/>
      <c r="O180" s="18">
        <f>COUNT(J180:N180)</f>
        <v/>
      </c>
      <c r="P180" s="19">
        <f>IF(O180=0,"",MIN(J180:N180))</f>
        <v/>
      </c>
      <c r="Q180" s="10">
        <f>IF(O180=0,"",INDEX($J$3:$N$3,MATCH(P180,J180:N180,0)))</f>
        <v/>
      </c>
      <c r="R180" s="16">
        <f>IF(O180=0,"",AVERAGE(J180:N180))</f>
        <v/>
      </c>
      <c r="S180" s="20">
        <f>IF(O180&lt;2,"",MAX(J180:N180)/P180)</f>
        <v/>
      </c>
      <c r="T180" s="19">
        <f>IF(O180=0,"",G180*P180)</f>
        <v/>
      </c>
      <c r="U180" s="21">
        <f>IF(OR(O180=0,I180=0),"",T180/I180-1)</f>
        <v/>
      </c>
      <c r="V180" s="18">
        <f>IF(O180=0,"PENDENTE",IF(O180&gt;=5,"COMPLETO","PARCIAL"))</f>
        <v/>
      </c>
    </row>
    <row r="181">
      <c r="A181" s="9" t="inlineStr">
        <is>
          <t>LUM-ARANDELA</t>
        </is>
      </c>
      <c r="B181" s="10" t="inlineStr">
        <is>
          <t>eletrica</t>
        </is>
      </c>
      <c r="C181" s="11" t="inlineStr">
        <is>
          <t>Arandela LED IP44 de espelho, 8 W</t>
        </is>
      </c>
      <c r="D181" s="10" t="inlineStr">
        <is>
          <t>un</t>
        </is>
      </c>
      <c r="E181" s="12" t="n">
        <v>6</v>
      </c>
      <c r="F181" s="13" t="n">
        <v>0</v>
      </c>
      <c r="G181" s="14">
        <f>E181*(1+F181)</f>
        <v/>
      </c>
      <c r="H181" s="15" t="n">
        <v>160</v>
      </c>
      <c r="I181" s="16">
        <f>G181*H181</f>
        <v/>
      </c>
      <c r="J181" s="17" t="n"/>
      <c r="K181" s="17" t="n"/>
      <c r="L181" s="17" t="n"/>
      <c r="M181" s="17" t="n"/>
      <c r="N181" s="17" t="n"/>
      <c r="O181" s="18">
        <f>COUNT(J181:N181)</f>
        <v/>
      </c>
      <c r="P181" s="19">
        <f>IF(O181=0,"",MIN(J181:N181))</f>
        <v/>
      </c>
      <c r="Q181" s="10">
        <f>IF(O181=0,"",INDEX($J$3:$N$3,MATCH(P181,J181:N181,0)))</f>
        <v/>
      </c>
      <c r="R181" s="16">
        <f>IF(O181=0,"",AVERAGE(J181:N181))</f>
        <v/>
      </c>
      <c r="S181" s="20">
        <f>IF(O181&lt;2,"",MAX(J181:N181)/P181)</f>
        <v/>
      </c>
      <c r="T181" s="19">
        <f>IF(O181=0,"",G181*P181)</f>
        <v/>
      </c>
      <c r="U181" s="21">
        <f>IF(OR(O181=0,I181=0),"",T181/I181-1)</f>
        <v/>
      </c>
      <c r="V181" s="18">
        <f>IF(O181=0,"PENDENTE",IF(O181&gt;=5,"COMPLETO","PARCIAL"))</f>
        <v/>
      </c>
    </row>
    <row r="182">
      <c r="A182" s="9" t="inlineStr">
        <is>
          <t>SPD-DPS1</t>
        </is>
      </c>
      <c r="B182" s="10" t="inlineStr">
        <is>
          <t>eletrica</t>
        </is>
      </c>
      <c r="C182" s="11" t="inlineStr">
        <is>
          <t>DPS classe I, 12,5 kA, 3F+N, na entrada</t>
        </is>
      </c>
      <c r="D182" s="10" t="inlineStr">
        <is>
          <t>un</t>
        </is>
      </c>
      <c r="E182" s="12" t="n">
        <v>1</v>
      </c>
      <c r="F182" s="13" t="n">
        <v>0</v>
      </c>
      <c r="G182" s="14">
        <f>E182*(1+F182)</f>
        <v/>
      </c>
      <c r="H182" s="15" t="n">
        <v>890</v>
      </c>
      <c r="I182" s="16">
        <f>G182*H182</f>
        <v/>
      </c>
      <c r="J182" s="17" t="n"/>
      <c r="K182" s="17" t="n"/>
      <c r="L182" s="17" t="n"/>
      <c r="M182" s="17" t="n"/>
      <c r="N182" s="17" t="n"/>
      <c r="O182" s="18">
        <f>COUNT(J182:N182)</f>
        <v/>
      </c>
      <c r="P182" s="19">
        <f>IF(O182=0,"",MIN(J182:N182))</f>
        <v/>
      </c>
      <c r="Q182" s="10">
        <f>IF(O182=0,"",INDEX($J$3:$N$3,MATCH(P182,J182:N182,0)))</f>
        <v/>
      </c>
      <c r="R182" s="16">
        <f>IF(O182=0,"",AVERAGE(J182:N182))</f>
        <v/>
      </c>
      <c r="S182" s="20">
        <f>IF(O182&lt;2,"",MAX(J182:N182)/P182)</f>
        <v/>
      </c>
      <c r="T182" s="19">
        <f>IF(O182=0,"",G182*P182)</f>
        <v/>
      </c>
      <c r="U182" s="21">
        <f>IF(OR(O182=0,I182=0),"",T182/I182-1)</f>
        <v/>
      </c>
      <c r="V182" s="18">
        <f>IF(O182=0,"PENDENTE",IF(O182&gt;=5,"COMPLETO","PARCIAL"))</f>
        <v/>
      </c>
    </row>
    <row r="183">
      <c r="A183" s="9" t="inlineStr">
        <is>
          <t>MET-DUCHA-TETO</t>
        </is>
      </c>
      <c r="B183" s="10" t="inlineStr">
        <is>
          <t>loucas</t>
        </is>
      </c>
      <c r="C183" s="11" t="inlineStr">
        <is>
          <t>Ducha de teto 250 mm com desviador (box &gt;= 1.400)</t>
        </is>
      </c>
      <c r="D183" s="10" t="inlineStr">
        <is>
          <t>un</t>
        </is>
      </c>
      <c r="E183" s="12" t="n">
        <v>1</v>
      </c>
      <c r="F183" s="13" t="n">
        <v>0</v>
      </c>
      <c r="G183" s="14">
        <f>E183*(1+F183)</f>
        <v/>
      </c>
      <c r="H183" s="15" t="n">
        <v>890</v>
      </c>
      <c r="I183" s="16">
        <f>G183*H183</f>
        <v/>
      </c>
      <c r="J183" s="17" t="n"/>
      <c r="K183" s="17" t="n"/>
      <c r="L183" s="17" t="n"/>
      <c r="M183" s="17" t="n"/>
      <c r="N183" s="17" t="n"/>
      <c r="O183" s="18">
        <f>COUNT(J183:N183)</f>
        <v/>
      </c>
      <c r="P183" s="19">
        <f>IF(O183=0,"",MIN(J183:N183))</f>
        <v/>
      </c>
      <c r="Q183" s="10">
        <f>IF(O183=0,"",INDEX($J$3:$N$3,MATCH(P183,J183:N183,0)))</f>
        <v/>
      </c>
      <c r="R183" s="16">
        <f>IF(O183=0,"",AVERAGE(J183:N183))</f>
        <v/>
      </c>
      <c r="S183" s="20">
        <f>IF(O183&lt;2,"",MAX(J183:N183)/P183)</f>
        <v/>
      </c>
      <c r="T183" s="19">
        <f>IF(O183=0,"",G183*P183)</f>
        <v/>
      </c>
      <c r="U183" s="21">
        <f>IF(OR(O183=0,I183=0),"",T183/I183-1)</f>
        <v/>
      </c>
      <c r="V183" s="18">
        <f>IF(O183=0,"PENDENTE",IF(O183&gt;=5,"COMPLETO","PARCIAL"))</f>
        <v/>
      </c>
    </row>
    <row r="184">
      <c r="A184" s="9" t="inlineStr">
        <is>
          <t>ELE-INT</t>
        </is>
      </c>
      <c r="B184" s="10" t="inlineStr">
        <is>
          <t>eletrica</t>
        </is>
      </c>
      <c r="C184" s="11" t="inlineStr">
        <is>
          <t>Interruptor simples e paralelo com placa</t>
        </is>
      </c>
      <c r="D184" s="10" t="inlineStr">
        <is>
          <t>un</t>
        </is>
      </c>
      <c r="E184" s="12" t="n">
        <v>27</v>
      </c>
      <c r="F184" s="13" t="n">
        <v>0</v>
      </c>
      <c r="G184" s="14">
        <f>E184*(1+F184)</f>
        <v/>
      </c>
      <c r="H184" s="15" t="n">
        <v>32</v>
      </c>
      <c r="I184" s="16">
        <f>G184*H184</f>
        <v/>
      </c>
      <c r="J184" s="17" t="n"/>
      <c r="K184" s="17" t="n"/>
      <c r="L184" s="17" t="n"/>
      <c r="M184" s="17" t="n"/>
      <c r="N184" s="17" t="n"/>
      <c r="O184" s="18">
        <f>COUNT(J184:N184)</f>
        <v/>
      </c>
      <c r="P184" s="19">
        <f>IF(O184=0,"",MIN(J184:N184))</f>
        <v/>
      </c>
      <c r="Q184" s="10">
        <f>IF(O184=0,"",INDEX($J$3:$N$3,MATCH(P184,J184:N184,0)))</f>
        <v/>
      </c>
      <c r="R184" s="16">
        <f>IF(O184=0,"",AVERAGE(J184:N184))</f>
        <v/>
      </c>
      <c r="S184" s="20">
        <f>IF(O184&lt;2,"",MAX(J184:N184)/P184)</f>
        <v/>
      </c>
      <c r="T184" s="19">
        <f>IF(O184=0,"",G184*P184)</f>
        <v/>
      </c>
      <c r="U184" s="21">
        <f>IF(OR(O184=0,I184=0),"",T184/I184-1)</f>
        <v/>
      </c>
      <c r="V184" s="18">
        <f>IF(O184=0,"PENDENTE",IF(O184&gt;=5,"COMPLETO","PARCIAL"))</f>
        <v/>
      </c>
    </row>
    <row r="185">
      <c r="A185" s="9" t="inlineStr">
        <is>
          <t>LUM-PENDENTE40</t>
        </is>
      </c>
      <c r="B185" s="10" t="inlineStr">
        <is>
          <t>eletrica</t>
        </is>
      </c>
      <c r="C185" s="11" t="inlineStr">
        <is>
          <t>Pendente LED de pe-direito duplo, 40 W</t>
        </is>
      </c>
      <c r="D185" s="10" t="inlineStr">
        <is>
          <t>un</t>
        </is>
      </c>
      <c r="E185" s="12" t="n">
        <v>2</v>
      </c>
      <c r="F185" s="13" t="n">
        <v>0</v>
      </c>
      <c r="G185" s="14">
        <f>E185*(1+F185)</f>
        <v/>
      </c>
      <c r="H185" s="15" t="n">
        <v>420</v>
      </c>
      <c r="I185" s="16">
        <f>G185*H185</f>
        <v/>
      </c>
      <c r="J185" s="17" t="n"/>
      <c r="K185" s="17" t="n"/>
      <c r="L185" s="17" t="n"/>
      <c r="M185" s="17" t="n"/>
      <c r="N185" s="17" t="n"/>
      <c r="O185" s="18">
        <f>COUNT(J185:N185)</f>
        <v/>
      </c>
      <c r="P185" s="19">
        <f>IF(O185=0,"",MIN(J185:N185))</f>
        <v/>
      </c>
      <c r="Q185" s="10">
        <f>IF(O185=0,"",INDEX($J$3:$N$3,MATCH(P185,J185:N185,0)))</f>
        <v/>
      </c>
      <c r="R185" s="16">
        <f>IF(O185=0,"",AVERAGE(J185:N185))</f>
        <v/>
      </c>
      <c r="S185" s="20">
        <f>IF(O185&lt;2,"",MAX(J185:N185)/P185)</f>
        <v/>
      </c>
      <c r="T185" s="19">
        <f>IF(O185=0,"",G185*P185)</f>
        <v/>
      </c>
      <c r="U185" s="21">
        <f>IF(OR(O185=0,I185=0),"",T185/I185-1)</f>
        <v/>
      </c>
      <c r="V185" s="18">
        <f>IF(O185=0,"PENDENTE",IF(O185&gt;=5,"COMPLETO","PARCIAL"))</f>
        <v/>
      </c>
    </row>
    <row r="186">
      <c r="A186" s="9" t="inlineStr">
        <is>
          <t>LOU-ASSENTO</t>
        </is>
      </c>
      <c r="B186" s="10" t="inlineStr">
        <is>
          <t>loucas</t>
        </is>
      </c>
      <c r="C186" s="11" t="inlineStr">
        <is>
          <t>Assento sanitario com amortecedor</t>
        </is>
      </c>
      <c r="D186" s="10" t="inlineStr">
        <is>
          <t>un</t>
        </is>
      </c>
      <c r="E186" s="12" t="n">
        <v>5</v>
      </c>
      <c r="F186" s="13" t="n">
        <v>0</v>
      </c>
      <c r="G186" s="14">
        <f>E186*(1+F186)</f>
        <v/>
      </c>
      <c r="H186" s="15" t="n">
        <v>140</v>
      </c>
      <c r="I186" s="16">
        <f>G186*H186</f>
        <v/>
      </c>
      <c r="J186" s="17" t="n"/>
      <c r="K186" s="17" t="n"/>
      <c r="L186" s="17" t="n"/>
      <c r="M186" s="17" t="n"/>
      <c r="N186" s="17" t="n"/>
      <c r="O186" s="18">
        <f>COUNT(J186:N186)</f>
        <v/>
      </c>
      <c r="P186" s="19">
        <f>IF(O186=0,"",MIN(J186:N186))</f>
        <v/>
      </c>
      <c r="Q186" s="10">
        <f>IF(O186=0,"",INDEX($J$3:$N$3,MATCH(P186,J186:N186,0)))</f>
        <v/>
      </c>
      <c r="R186" s="16">
        <f>IF(O186=0,"",AVERAGE(J186:N186))</f>
        <v/>
      </c>
      <c r="S186" s="20">
        <f>IF(O186&lt;2,"",MAX(J186:N186)/P186)</f>
        <v/>
      </c>
      <c r="T186" s="19">
        <f>IF(O186=0,"",G186*P186)</f>
        <v/>
      </c>
      <c r="U186" s="21">
        <f>IF(OR(O186=0,I186=0),"",T186/I186-1)</f>
        <v/>
      </c>
      <c r="V186" s="18">
        <f>IF(O186=0,"PENDENTE",IF(O186&gt;=5,"COMPLETO","PARCIAL"))</f>
        <v/>
      </c>
    </row>
    <row r="187">
      <c r="A187" s="9" t="inlineStr">
        <is>
          <t>ELE-TUE</t>
        </is>
      </c>
      <c r="B187" s="10" t="inlineStr">
        <is>
          <t>eletrica</t>
        </is>
      </c>
      <c r="C187" s="11" t="inlineStr">
        <is>
          <t>Tomada de uso especifico 20 A com placa</t>
        </is>
      </c>
      <c r="D187" s="10" t="inlineStr">
        <is>
          <t>un</t>
        </is>
      </c>
      <c r="E187" s="12" t="n">
        <v>25</v>
      </c>
      <c r="F187" s="13" t="n">
        <v>0</v>
      </c>
      <c r="G187" s="14">
        <f>E187*(1+F187)</f>
        <v/>
      </c>
      <c r="H187" s="15" t="n">
        <v>28</v>
      </c>
      <c r="I187" s="16">
        <f>G187*H187</f>
        <v/>
      </c>
      <c r="J187" s="17" t="n"/>
      <c r="K187" s="17" t="n"/>
      <c r="L187" s="17" t="n"/>
      <c r="M187" s="17" t="n"/>
      <c r="N187" s="17" t="n"/>
      <c r="O187" s="18">
        <f>COUNT(J187:N187)</f>
        <v/>
      </c>
      <c r="P187" s="19">
        <f>IF(O187=0,"",MIN(J187:N187))</f>
        <v/>
      </c>
      <c r="Q187" s="10">
        <f>IF(O187=0,"",INDEX($J$3:$N$3,MATCH(P187,J187:N187,0)))</f>
        <v/>
      </c>
      <c r="R187" s="16">
        <f>IF(O187=0,"",AVERAGE(J187:N187))</f>
        <v/>
      </c>
      <c r="S187" s="20">
        <f>IF(O187&lt;2,"",MAX(J187:N187)/P187)</f>
        <v/>
      </c>
      <c r="T187" s="19">
        <f>IF(O187=0,"",G187*P187)</f>
        <v/>
      </c>
      <c r="U187" s="21">
        <f>IF(OR(O187=0,I187=0),"",T187/I187-1)</f>
        <v/>
      </c>
      <c r="V187" s="18">
        <f>IF(O187=0,"PENDENTE",IF(O187&gt;=5,"COMPLETO","PARCIAL"))</f>
        <v/>
      </c>
    </row>
    <row r="188">
      <c r="A188" s="9" t="inlineStr">
        <is>
          <t>FV-STRINGBOX</t>
        </is>
      </c>
      <c r="B188" s="10" t="inlineStr">
        <is>
          <t>eletrica</t>
        </is>
      </c>
      <c r="C188" s="11" t="inlineStr">
        <is>
          <t>String box CC com DPS e seccionadora</t>
        </is>
      </c>
      <c r="D188" s="10" t="inlineStr">
        <is>
          <t>un</t>
        </is>
      </c>
      <c r="E188" s="12" t="n">
        <v>1</v>
      </c>
      <c r="F188" s="13" t="n">
        <v>0</v>
      </c>
      <c r="G188" s="14">
        <f>E188*(1+F188)</f>
        <v/>
      </c>
      <c r="H188" s="15" t="n">
        <v>680</v>
      </c>
      <c r="I188" s="16">
        <f>G188*H188</f>
        <v/>
      </c>
      <c r="J188" s="17" t="n"/>
      <c r="K188" s="17" t="n"/>
      <c r="L188" s="17" t="n"/>
      <c r="M188" s="17" t="n"/>
      <c r="N188" s="17" t="n"/>
      <c r="O188" s="18">
        <f>COUNT(J188:N188)</f>
        <v/>
      </c>
      <c r="P188" s="19">
        <f>IF(O188=0,"",MIN(J188:N188))</f>
        <v/>
      </c>
      <c r="Q188" s="10">
        <f>IF(O188=0,"",INDEX($J$3:$N$3,MATCH(P188,J188:N188,0)))</f>
        <v/>
      </c>
      <c r="R188" s="16">
        <f>IF(O188=0,"",AVERAGE(J188:N188))</f>
        <v/>
      </c>
      <c r="S188" s="20">
        <f>IF(O188&lt;2,"",MAX(J188:N188)/P188)</f>
        <v/>
      </c>
      <c r="T188" s="19">
        <f>IF(O188=0,"",G188*P188)</f>
        <v/>
      </c>
      <c r="U188" s="21">
        <f>IF(OR(O188=0,I188=0),"",T188/I188-1)</f>
        <v/>
      </c>
      <c r="V188" s="18">
        <f>IF(O188=0,"PENDENTE",IF(O188&gt;=5,"COMPLETO","PARCIAL"))</f>
        <v/>
      </c>
    </row>
    <row r="189">
      <c r="A189" s="9" t="inlineStr">
        <is>
          <t>SPD-ENSAIO</t>
        </is>
      </c>
      <c r="B189" s="10" t="inlineStr">
        <is>
          <t>eletrica</t>
        </is>
      </c>
      <c r="C189" s="11" t="inlineStr">
        <is>
          <t>Ensaio de continuidade e resistencia de aterramento</t>
        </is>
      </c>
      <c r="D189" s="10" t="inlineStr">
        <is>
          <t>un</t>
        </is>
      </c>
      <c r="E189" s="12" t="n">
        <v>1</v>
      </c>
      <c r="F189" s="13" t="n">
        <v>0</v>
      </c>
      <c r="G189" s="14">
        <f>E189*(1+F189)</f>
        <v/>
      </c>
      <c r="H189" s="15" t="n">
        <v>650</v>
      </c>
      <c r="I189" s="16">
        <f>G189*H189</f>
        <v/>
      </c>
      <c r="J189" s="17" t="n"/>
      <c r="K189" s="17" t="n"/>
      <c r="L189" s="17" t="n"/>
      <c r="M189" s="17" t="n"/>
      <c r="N189" s="17" t="n"/>
      <c r="O189" s="18">
        <f>COUNT(J189:N189)</f>
        <v/>
      </c>
      <c r="P189" s="19">
        <f>IF(O189=0,"",MIN(J189:N189))</f>
        <v/>
      </c>
      <c r="Q189" s="10">
        <f>IF(O189=0,"",INDEX($J$3:$N$3,MATCH(P189,J189:N189,0)))</f>
        <v/>
      </c>
      <c r="R189" s="16">
        <f>IF(O189=0,"",AVERAGE(J189:N189))</f>
        <v/>
      </c>
      <c r="S189" s="20">
        <f>IF(O189&lt;2,"",MAX(J189:N189)/P189)</f>
        <v/>
      </c>
      <c r="T189" s="19">
        <f>IF(O189=0,"",G189*P189)</f>
        <v/>
      </c>
      <c r="U189" s="21">
        <f>IF(OR(O189=0,I189=0),"",T189/I189-1)</f>
        <v/>
      </c>
      <c r="V189" s="18">
        <f>IF(O189=0,"PENDENTE",IF(O189&gt;=5,"COMPLETO","PARCIAL"))</f>
        <v/>
      </c>
    </row>
    <row r="190">
      <c r="A190" s="9" t="inlineStr">
        <is>
          <t>LOU-TANQUE</t>
        </is>
      </c>
      <c r="B190" s="10" t="inlineStr">
        <is>
          <t>loucas</t>
        </is>
      </c>
      <c r="C190" s="11" t="inlineStr">
        <is>
          <t>Tanque de lavanderia</t>
        </is>
      </c>
      <c r="D190" s="10" t="inlineStr">
        <is>
          <t>un</t>
        </is>
      </c>
      <c r="E190" s="12" t="n">
        <v>2</v>
      </c>
      <c r="F190" s="13" t="n">
        <v>0</v>
      </c>
      <c r="G190" s="14">
        <f>E190*(1+F190)</f>
        <v/>
      </c>
      <c r="H190" s="15" t="n">
        <v>320</v>
      </c>
      <c r="I190" s="16">
        <f>G190*H190</f>
        <v/>
      </c>
      <c r="J190" s="17" t="n"/>
      <c r="K190" s="17" t="n"/>
      <c r="L190" s="17" t="n"/>
      <c r="M190" s="17" t="n"/>
      <c r="N190" s="17" t="n"/>
      <c r="O190" s="18">
        <f>COUNT(J190:N190)</f>
        <v/>
      </c>
      <c r="P190" s="19">
        <f>IF(O190=0,"",MIN(J190:N190))</f>
        <v/>
      </c>
      <c r="Q190" s="10">
        <f>IF(O190=0,"",INDEX($J$3:$N$3,MATCH(P190,J190:N190,0)))</f>
        <v/>
      </c>
      <c r="R190" s="16">
        <f>IF(O190=0,"",AVERAGE(J190:N190))</f>
        <v/>
      </c>
      <c r="S190" s="20">
        <f>IF(O190&lt;2,"",MAX(J190:N190)/P190)</f>
        <v/>
      </c>
      <c r="T190" s="19">
        <f>IF(O190=0,"",G190*P190)</f>
        <v/>
      </c>
      <c r="U190" s="21">
        <f>IF(OR(O190=0,I190=0),"",T190/I190-1)</f>
        <v/>
      </c>
      <c r="V190" s="18">
        <f>IF(O190=0,"PENDENTE",IF(O190&gt;=5,"COMPLETO","PARCIAL"))</f>
        <v/>
      </c>
    </row>
    <row r="191">
      <c r="A191" s="9" t="inlineStr">
        <is>
          <t>MET-TORN-T</t>
        </is>
      </c>
      <c r="B191" s="10" t="inlineStr">
        <is>
          <t>loucas</t>
        </is>
      </c>
      <c r="C191" s="11" t="inlineStr">
        <is>
          <t>Torneira de tanque e de jardim</t>
        </is>
      </c>
      <c r="D191" s="10" t="inlineStr">
        <is>
          <t>un</t>
        </is>
      </c>
      <c r="E191" s="12" t="n">
        <v>4</v>
      </c>
      <c r="F191" s="13" t="n">
        <v>0</v>
      </c>
      <c r="G191" s="14">
        <f>E191*(1+F191)</f>
        <v/>
      </c>
      <c r="H191" s="15" t="n">
        <v>160</v>
      </c>
      <c r="I191" s="16">
        <f>G191*H191</f>
        <v/>
      </c>
      <c r="J191" s="17" t="n"/>
      <c r="K191" s="17" t="n"/>
      <c r="L191" s="17" t="n"/>
      <c r="M191" s="17" t="n"/>
      <c r="N191" s="17" t="n"/>
      <c r="O191" s="18">
        <f>COUNT(J191:N191)</f>
        <v/>
      </c>
      <c r="P191" s="19">
        <f>IF(O191=0,"",MIN(J191:N191))</f>
        <v/>
      </c>
      <c r="Q191" s="10">
        <f>IF(O191=0,"",INDEX($J$3:$N$3,MATCH(P191,J191:N191,0)))</f>
        <v/>
      </c>
      <c r="R191" s="16">
        <f>IF(O191=0,"",AVERAGE(J191:N191))</f>
        <v/>
      </c>
      <c r="S191" s="20">
        <f>IF(O191&lt;2,"",MAX(J191:N191)/P191)</f>
        <v/>
      </c>
      <c r="T191" s="19">
        <f>IF(O191=0,"",G191*P191)</f>
        <v/>
      </c>
      <c r="U191" s="21">
        <f>IF(OR(O191=0,I191=0),"",T191/I191-1)</f>
        <v/>
      </c>
      <c r="V191" s="18">
        <f>IF(O191=0,"PENDENTE",IF(O191&gt;=5,"COMPLETO","PARCIAL"))</f>
        <v/>
      </c>
    </row>
    <row r="192">
      <c r="A192" s="9" t="inlineStr">
        <is>
          <t>MET-ENGATE</t>
        </is>
      </c>
      <c r="B192" s="10" t="inlineStr">
        <is>
          <t>loucas</t>
        </is>
      </c>
      <c r="C192" s="11" t="inlineStr">
        <is>
          <t>Engate flexivel</t>
        </is>
      </c>
      <c r="D192" s="10" t="inlineStr">
        <is>
          <t>un</t>
        </is>
      </c>
      <c r="E192" s="12" t="n">
        <v>27</v>
      </c>
      <c r="F192" s="13" t="n">
        <v>0</v>
      </c>
      <c r="G192" s="14">
        <f>E192*(1+F192)</f>
        <v/>
      </c>
      <c r="H192" s="15" t="n">
        <v>22</v>
      </c>
      <c r="I192" s="16">
        <f>G192*H192</f>
        <v/>
      </c>
      <c r="J192" s="17" t="n"/>
      <c r="K192" s="17" t="n"/>
      <c r="L192" s="17" t="n"/>
      <c r="M192" s="17" t="n"/>
      <c r="N192" s="17" t="n"/>
      <c r="O192" s="18">
        <f>COUNT(J192:N192)</f>
        <v/>
      </c>
      <c r="P192" s="19">
        <f>IF(O192=0,"",MIN(J192:N192))</f>
        <v/>
      </c>
      <c r="Q192" s="10">
        <f>IF(O192=0,"",INDEX($J$3:$N$3,MATCH(P192,J192:N192,0)))</f>
        <v/>
      </c>
      <c r="R192" s="16">
        <f>IF(O192=0,"",AVERAGE(J192:N192))</f>
        <v/>
      </c>
      <c r="S192" s="20">
        <f>IF(O192&lt;2,"",MAX(J192:N192)/P192)</f>
        <v/>
      </c>
      <c r="T192" s="19">
        <f>IF(O192=0,"",G192*P192)</f>
        <v/>
      </c>
      <c r="U192" s="21">
        <f>IF(OR(O192=0,I192=0),"",T192/I192-1)</f>
        <v/>
      </c>
      <c r="V192" s="18">
        <f>IF(O192=0,"PENDENTE",IF(O192&gt;=5,"COMPLETO","PARCIAL"))</f>
        <v/>
      </c>
    </row>
    <row r="193">
      <c r="A193" s="9" t="inlineStr">
        <is>
          <t>FV-CABO</t>
        </is>
      </c>
      <c r="B193" s="10" t="inlineStr">
        <is>
          <t>eletrica</t>
        </is>
      </c>
      <c r="C193" s="11" t="inlineStr">
        <is>
          <t>Cabo solar 6 mm2 e eletroduto ate o inversor</t>
        </is>
      </c>
      <c r="D193" s="10" t="inlineStr">
        <is>
          <t>m</t>
        </is>
      </c>
      <c r="E193" s="12" t="n">
        <v>40.3</v>
      </c>
      <c r="F193" s="13" t="n">
        <v>0</v>
      </c>
      <c r="G193" s="14">
        <f>E193*(1+F193)</f>
        <v/>
      </c>
      <c r="H193" s="15" t="n">
        <v>14</v>
      </c>
      <c r="I193" s="16">
        <f>G193*H193</f>
        <v/>
      </c>
      <c r="J193" s="17" t="n"/>
      <c r="K193" s="17" t="n"/>
      <c r="L193" s="17" t="n"/>
      <c r="M193" s="17" t="n"/>
      <c r="N193" s="17" t="n"/>
      <c r="O193" s="18">
        <f>COUNT(J193:N193)</f>
        <v/>
      </c>
      <c r="P193" s="19">
        <f>IF(O193=0,"",MIN(J193:N193))</f>
        <v/>
      </c>
      <c r="Q193" s="10">
        <f>IF(O193=0,"",INDEX($J$3:$N$3,MATCH(P193,J193:N193,0)))</f>
        <v/>
      </c>
      <c r="R193" s="16">
        <f>IF(O193=0,"",AVERAGE(J193:N193))</f>
        <v/>
      </c>
      <c r="S193" s="20">
        <f>IF(O193&lt;2,"",MAX(J193:N193)/P193)</f>
        <v/>
      </c>
      <c r="T193" s="19">
        <f>IF(O193=0,"",G193*P193)</f>
        <v/>
      </c>
      <c r="U193" s="21">
        <f>IF(OR(O193=0,I193=0),"",T193/I193-1)</f>
        <v/>
      </c>
      <c r="V193" s="18">
        <f>IF(O193=0,"PENDENTE",IF(O193&gt;=5,"COMPLETO","PARCIAL"))</f>
        <v/>
      </c>
    </row>
    <row r="194">
      <c r="A194" s="9" t="inlineStr">
        <is>
          <t>LUM-BALIZADOR</t>
        </is>
      </c>
      <c r="B194" s="10" t="inlineStr">
        <is>
          <t>eletrica</t>
        </is>
      </c>
      <c r="C194" s="11" t="inlineStr">
        <is>
          <t>Balizador LED de escada, 3 W</t>
        </is>
      </c>
      <c r="D194" s="10" t="inlineStr">
        <is>
          <t>un</t>
        </is>
      </c>
      <c r="E194" s="12" t="n">
        <v>6</v>
      </c>
      <c r="F194" s="13" t="n">
        <v>0</v>
      </c>
      <c r="G194" s="14">
        <f>E194*(1+F194)</f>
        <v/>
      </c>
      <c r="H194" s="15" t="n">
        <v>85</v>
      </c>
      <c r="I194" s="16">
        <f>G194*H194</f>
        <v/>
      </c>
      <c r="J194" s="17" t="n"/>
      <c r="K194" s="17" t="n"/>
      <c r="L194" s="17" t="n"/>
      <c r="M194" s="17" t="n"/>
      <c r="N194" s="17" t="n"/>
      <c r="O194" s="18">
        <f>COUNT(J194:N194)</f>
        <v/>
      </c>
      <c r="P194" s="19">
        <f>IF(O194=0,"",MIN(J194:N194))</f>
        <v/>
      </c>
      <c r="Q194" s="10">
        <f>IF(O194=0,"",INDEX($J$3:$N$3,MATCH(P194,J194:N194,0)))</f>
        <v/>
      </c>
      <c r="R194" s="16">
        <f>IF(O194=0,"",AVERAGE(J194:N194))</f>
        <v/>
      </c>
      <c r="S194" s="20">
        <f>IF(O194&lt;2,"",MAX(J194:N194)/P194)</f>
        <v/>
      </c>
      <c r="T194" s="19">
        <f>IF(O194=0,"",G194*P194)</f>
        <v/>
      </c>
      <c r="U194" s="21">
        <f>IF(OR(O194=0,I194=0),"",T194/I194-1)</f>
        <v/>
      </c>
      <c r="V194" s="18">
        <f>IF(O194=0,"PENDENTE",IF(O194&gt;=5,"COMPLETO","PARCIAL"))</f>
        <v/>
      </c>
    </row>
    <row r="195">
      <c r="A195" s="9" t="inlineStr">
        <is>
          <t>MET-VALV</t>
        </is>
      </c>
      <c r="B195" s="10" t="inlineStr">
        <is>
          <t>loucas</t>
        </is>
      </c>
      <c r="C195" s="11" t="inlineStr">
        <is>
          <t>Valvula de escoamento e de lavatorio</t>
        </is>
      </c>
      <c r="D195" s="10" t="inlineStr">
        <is>
          <t>un</t>
        </is>
      </c>
      <c r="E195" s="12" t="n">
        <v>11</v>
      </c>
      <c r="F195" s="13" t="n">
        <v>0</v>
      </c>
      <c r="G195" s="14">
        <f>E195*(1+F195)</f>
        <v/>
      </c>
      <c r="H195" s="15" t="n">
        <v>45</v>
      </c>
      <c r="I195" s="16">
        <f>G195*H195</f>
        <v/>
      </c>
      <c r="J195" s="17" t="n"/>
      <c r="K195" s="17" t="n"/>
      <c r="L195" s="17" t="n"/>
      <c r="M195" s="17" t="n"/>
      <c r="N195" s="17" t="n"/>
      <c r="O195" s="18">
        <f>COUNT(J195:N195)</f>
        <v/>
      </c>
      <c r="P195" s="19">
        <f>IF(O195=0,"",MIN(J195:N195))</f>
        <v/>
      </c>
      <c r="Q195" s="10">
        <f>IF(O195=0,"",INDEX($J$3:$N$3,MATCH(P195,J195:N195,0)))</f>
        <v/>
      </c>
      <c r="R195" s="16">
        <f>IF(O195=0,"",AVERAGE(J195:N195))</f>
        <v/>
      </c>
      <c r="S195" s="20">
        <f>IF(O195&lt;2,"",MAX(J195:N195)/P195)</f>
        <v/>
      </c>
      <c r="T195" s="19">
        <f>IF(O195=0,"",G195*P195)</f>
        <v/>
      </c>
      <c r="U195" s="21">
        <f>IF(OR(O195=0,I195=0),"",T195/I195-1)</f>
        <v/>
      </c>
      <c r="V195" s="18">
        <f>IF(O195=0,"PENDENTE",IF(O195&gt;=5,"COMPLETO","PARCIAL"))</f>
        <v/>
      </c>
    </row>
    <row r="196">
      <c r="A196" s="9" t="inlineStr">
        <is>
          <t>SPD-BEP</t>
        </is>
      </c>
      <c r="B196" s="10" t="inlineStr">
        <is>
          <t>eletrica</t>
        </is>
      </c>
      <c r="C196" s="11" t="inlineStr">
        <is>
          <t>Barramento de equipotencializacao principal</t>
        </is>
      </c>
      <c r="D196" s="10" t="inlineStr">
        <is>
          <t>un</t>
        </is>
      </c>
      <c r="E196" s="12" t="n">
        <v>1</v>
      </c>
      <c r="F196" s="13" t="n">
        <v>0</v>
      </c>
      <c r="G196" s="14">
        <f>E196*(1+F196)</f>
        <v/>
      </c>
      <c r="H196" s="15" t="n">
        <v>420</v>
      </c>
      <c r="I196" s="16">
        <f>G196*H196</f>
        <v/>
      </c>
      <c r="J196" s="17" t="n"/>
      <c r="K196" s="17" t="n"/>
      <c r="L196" s="17" t="n"/>
      <c r="M196" s="17" t="n"/>
      <c r="N196" s="17" t="n"/>
      <c r="O196" s="18">
        <f>COUNT(J196:N196)</f>
        <v/>
      </c>
      <c r="P196" s="19">
        <f>IF(O196=0,"",MIN(J196:N196))</f>
        <v/>
      </c>
      <c r="Q196" s="10">
        <f>IF(O196=0,"",INDEX($J$3:$N$3,MATCH(P196,J196:N196,0)))</f>
        <v/>
      </c>
      <c r="R196" s="16">
        <f>IF(O196=0,"",AVERAGE(J196:N196))</f>
        <v/>
      </c>
      <c r="S196" s="20">
        <f>IF(O196&lt;2,"",MAX(J196:N196)/P196)</f>
        <v/>
      </c>
      <c r="T196" s="19">
        <f>IF(O196=0,"",G196*P196)</f>
        <v/>
      </c>
      <c r="U196" s="21">
        <f>IF(OR(O196=0,I196=0),"",T196/I196-1)</f>
        <v/>
      </c>
      <c r="V196" s="18">
        <f>IF(O196=0,"PENDENTE",IF(O196&gt;=5,"COMPLETO","PARCIAL"))</f>
        <v/>
      </c>
    </row>
    <row r="197">
      <c r="A197" s="9" t="inlineStr">
        <is>
          <t>MET-SIFAO</t>
        </is>
      </c>
      <c r="B197" s="10" t="inlineStr">
        <is>
          <t>loucas</t>
        </is>
      </c>
      <c r="C197" s="11" t="inlineStr">
        <is>
          <t>Sifao flexivel</t>
        </is>
      </c>
      <c r="D197" s="10" t="inlineStr">
        <is>
          <t>un</t>
        </is>
      </c>
      <c r="E197" s="12" t="n">
        <v>11</v>
      </c>
      <c r="F197" s="13" t="n">
        <v>0</v>
      </c>
      <c r="G197" s="14">
        <f>E197*(1+F197)</f>
        <v/>
      </c>
      <c r="H197" s="15" t="n">
        <v>38</v>
      </c>
      <c r="I197" s="16">
        <f>G197*H197</f>
        <v/>
      </c>
      <c r="J197" s="17" t="n"/>
      <c r="K197" s="17" t="n"/>
      <c r="L197" s="17" t="n"/>
      <c r="M197" s="17" t="n"/>
      <c r="N197" s="17" t="n"/>
      <c r="O197" s="18">
        <f>COUNT(J197:N197)</f>
        <v/>
      </c>
      <c r="P197" s="19">
        <f>IF(O197=0,"",MIN(J197:N197))</f>
        <v/>
      </c>
      <c r="Q197" s="10">
        <f>IF(O197=0,"",INDEX($J$3:$N$3,MATCH(P197,J197:N197,0)))</f>
        <v/>
      </c>
      <c r="R197" s="16">
        <f>IF(O197=0,"",AVERAGE(J197:N197))</f>
        <v/>
      </c>
      <c r="S197" s="20">
        <f>IF(O197&lt;2,"",MAX(J197:N197)/P197)</f>
        <v/>
      </c>
      <c r="T197" s="19">
        <f>IF(O197=0,"",G197*P197)</f>
        <v/>
      </c>
      <c r="U197" s="21">
        <f>IF(OR(O197=0,I197=0),"",T197/I197-1)</f>
        <v/>
      </c>
      <c r="V197" s="18">
        <f>IF(O197=0,"PENDENTE",IF(O197&gt;=5,"COMPLETO","PARCIAL"))</f>
        <v/>
      </c>
    </row>
    <row r="198">
      <c r="A198" s="9" t="inlineStr">
        <is>
          <t>SPD-HASTE</t>
        </is>
      </c>
      <c r="B198" s="10" t="inlineStr">
        <is>
          <t>eletrica</t>
        </is>
      </c>
      <c r="C198" s="11" t="inlineStr">
        <is>
          <t>Haste de aterramento 5/8 x 2.400 mm</t>
        </is>
      </c>
      <c r="D198" s="10" t="inlineStr">
        <is>
          <t>un</t>
        </is>
      </c>
      <c r="E198" s="12" t="n">
        <v>4</v>
      </c>
      <c r="F198" s="13" t="n">
        <v>0</v>
      </c>
      <c r="G198" s="14">
        <f>E198*(1+F198)</f>
        <v/>
      </c>
      <c r="H198" s="15" t="n">
        <v>95</v>
      </c>
      <c r="I198" s="16">
        <f>G198*H198</f>
        <v/>
      </c>
      <c r="J198" s="17" t="n"/>
      <c r="K198" s="17" t="n"/>
      <c r="L198" s="17" t="n"/>
      <c r="M198" s="17" t="n"/>
      <c r="N198" s="17" t="n"/>
      <c r="O198" s="18">
        <f>COUNT(J198:N198)</f>
        <v/>
      </c>
      <c r="P198" s="19">
        <f>IF(O198=0,"",MIN(J198:N198))</f>
        <v/>
      </c>
      <c r="Q198" s="10">
        <f>IF(O198=0,"",INDEX($J$3:$N$3,MATCH(P198,J198:N198,0)))</f>
        <v/>
      </c>
      <c r="R198" s="16">
        <f>IF(O198=0,"",AVERAGE(J198:N198))</f>
        <v/>
      </c>
      <c r="S198" s="20">
        <f>IF(O198&lt;2,"",MAX(J198:N198)/P198)</f>
        <v/>
      </c>
      <c r="T198" s="19">
        <f>IF(O198=0,"",G198*P198)</f>
        <v/>
      </c>
      <c r="U198" s="21">
        <f>IF(OR(O198=0,I198=0),"",T198/I198-1)</f>
        <v/>
      </c>
      <c r="V198" s="18">
        <f>IF(O198=0,"PENDENTE",IF(O198&gt;=5,"COMPLETO","PARCIAL"))</f>
        <v/>
      </c>
    </row>
    <row r="199">
      <c r="A199" s="9" t="inlineStr">
        <is>
          <t>LUM-DOWNLIGHT12</t>
        </is>
      </c>
      <c r="B199" s="10" t="inlineStr">
        <is>
          <t>eletrica</t>
        </is>
      </c>
      <c r="C199" s="11" t="inlineStr">
        <is>
          <t>Downlight LED embutido 12 W</t>
        </is>
      </c>
      <c r="D199" s="10" t="inlineStr">
        <is>
          <t>un</t>
        </is>
      </c>
      <c r="E199" s="12" t="n">
        <v>4</v>
      </c>
      <c r="F199" s="13" t="n">
        <v>0</v>
      </c>
      <c r="G199" s="14">
        <f>E199*(1+F199)</f>
        <v/>
      </c>
      <c r="H199" s="15" t="n">
        <v>95</v>
      </c>
      <c r="I199" s="16">
        <f>G199*H199</f>
        <v/>
      </c>
      <c r="J199" s="17" t="n"/>
      <c r="K199" s="17" t="n"/>
      <c r="L199" s="17" t="n"/>
      <c r="M199" s="17" t="n"/>
      <c r="N199" s="17" t="n"/>
      <c r="O199" s="18">
        <f>COUNT(J199:N199)</f>
        <v/>
      </c>
      <c r="P199" s="19">
        <f>IF(O199=0,"",MIN(J199:N199))</f>
        <v/>
      </c>
      <c r="Q199" s="10">
        <f>IF(O199=0,"",INDEX($J$3:$N$3,MATCH(P199,J199:N199,0)))</f>
        <v/>
      </c>
      <c r="R199" s="16">
        <f>IF(O199=0,"",AVERAGE(J199:N199))</f>
        <v/>
      </c>
      <c r="S199" s="20">
        <f>IF(O199&lt;2,"",MAX(J199:N199)/P199)</f>
        <v/>
      </c>
      <c r="T199" s="19">
        <f>IF(O199=0,"",G199*P199)</f>
        <v/>
      </c>
      <c r="U199" s="21">
        <f>IF(OR(O199=0,I199=0),"",T199/I199-1)</f>
        <v/>
      </c>
      <c r="V199" s="18">
        <f>IF(O199=0,"PENDENTE",IF(O199&gt;=5,"COMPLETO","PARCIAL"))</f>
        <v/>
      </c>
    </row>
    <row r="200">
      <c r="A200" s="9" t="inlineStr">
        <is>
          <t>ELE-DPS</t>
        </is>
      </c>
      <c r="B200" s="10" t="inlineStr">
        <is>
          <t>eletrica</t>
        </is>
      </c>
      <c r="C200" s="11" t="inlineStr">
        <is>
          <t>Dispositivo de protecao contra surtos</t>
        </is>
      </c>
      <c r="D200" s="10" t="inlineStr">
        <is>
          <t>un</t>
        </is>
      </c>
      <c r="E200" s="12" t="n">
        <v>2</v>
      </c>
      <c r="F200" s="13" t="n">
        <v>0</v>
      </c>
      <c r="G200" s="14">
        <f>E200*(1+F200)</f>
        <v/>
      </c>
      <c r="H200" s="15" t="n">
        <v>120</v>
      </c>
      <c r="I200" s="16">
        <f>G200*H200</f>
        <v/>
      </c>
      <c r="J200" s="17" t="n"/>
      <c r="K200" s="17" t="n"/>
      <c r="L200" s="17" t="n"/>
      <c r="M200" s="17" t="n"/>
      <c r="N200" s="17" t="n"/>
      <c r="O200" s="18">
        <f>COUNT(J200:N200)</f>
        <v/>
      </c>
      <c r="P200" s="19">
        <f>IF(O200=0,"",MIN(J200:N200))</f>
        <v/>
      </c>
      <c r="Q200" s="10">
        <f>IF(O200=0,"",INDEX($J$3:$N$3,MATCH(P200,J200:N200,0)))</f>
        <v/>
      </c>
      <c r="R200" s="16">
        <f>IF(O200=0,"",AVERAGE(J200:N200))</f>
        <v/>
      </c>
      <c r="S200" s="20">
        <f>IF(O200&lt;2,"",MAX(J200:N200)/P200)</f>
        <v/>
      </c>
      <c r="T200" s="19">
        <f>IF(O200=0,"",G200*P200)</f>
        <v/>
      </c>
      <c r="U200" s="21">
        <f>IF(OR(O200=0,I200=0),"",T200/I200-1)</f>
        <v/>
      </c>
      <c r="V200" s="18">
        <f>IF(O200=0,"PENDENTE",IF(O200&gt;=5,"COMPLETO","PARCIAL"))</f>
        <v/>
      </c>
    </row>
    <row r="201">
      <c r="A201" s="22" t="n"/>
      <c r="B201" s="22" t="n"/>
      <c r="C201" s="23" t="inlineStr">
        <is>
          <t>TOTAL GERAL</t>
        </is>
      </c>
      <c r="D201" s="22" t="n"/>
      <c r="E201" s="22" t="n"/>
      <c r="F201" s="22" t="n"/>
      <c r="G201" s="22" t="n"/>
      <c r="H201" s="22" t="n"/>
      <c r="I201" s="24">
        <f>SUM(I4:I200)</f>
        <v/>
      </c>
      <c r="J201" s="22" t="n"/>
      <c r="K201" s="22" t="n"/>
      <c r="L201" s="22" t="n"/>
      <c r="M201" s="22" t="n"/>
      <c r="N201" s="22" t="n"/>
      <c r="O201" s="22" t="n"/>
      <c r="P201" s="22" t="n"/>
      <c r="Q201" s="22" t="n"/>
      <c r="R201" s="22" t="n"/>
      <c r="S201" s="22" t="n"/>
      <c r="T201" s="24">
        <f>SUM(T4:T200)</f>
        <v/>
      </c>
      <c r="U201" s="25">
        <f>IF(T201=0,"",T201/I201-1)</f>
        <v/>
      </c>
      <c r="V201" s="22" t="n"/>
    </row>
    <row r="203">
      <c r="C203" s="2" t="inlineStr">
        <is>
          <t>Itens: 197 · linhas cotáveis com especificação completa: 133 · com lacuna a esclarecer com o fornecedor: 136</t>
        </is>
      </c>
    </row>
    <row r="204">
      <c r="C204" s="2" t="inlineStr">
        <is>
          <t>Passe o mouse sobre a DESCRIÇÃO para ver a especificação completa, as normas e a lacuna de cada item.</t>
        </is>
      </c>
    </row>
  </sheetData>
  <autoFilter ref="A3:V200"/>
  <conditionalFormatting sqref="V4:V200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200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200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SUMIF(COTAÇÃO!$B$4:$B$200,$A5,COTAÇÃO!$I$4:$I$200)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SUMIF(COTAÇÃO!$B$4:$B$200,$A5,COTAÇÃO!$T$4:$T$200)</f>
        <v/>
      </c>
      <c r="G5" s="21">
        <f>IF(OR(F5=0,C5=0),"",F5/C5-1)</f>
        <v/>
      </c>
      <c r="H5" s="18">
        <f>COUNTIFS(COTAÇÃO!$B$4:$B$200,$A5,COTAÇÃO!$O$4:$O$200,"&gt;0")</f>
        <v/>
      </c>
      <c r="I5" s="21">
        <f>IF(B5=0,0,H5/B5)</f>
        <v/>
      </c>
    </row>
    <row r="6">
      <c r="A6" s="9" t="inlineStr">
        <is>
          <t>estrutura</t>
        </is>
      </c>
      <c r="B6" s="18" t="n">
        <v>7</v>
      </c>
      <c r="C6" s="27">
        <f>SUMIF(COTAÇÃO!$B$4:$B$200,$A6,COTAÇÃO!$I$4:$I$200)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SUMIF(COTAÇÃO!$B$4:$B$200,$A6,COTAÇÃO!$T$4:$T$200)</f>
        <v/>
      </c>
      <c r="G6" s="21">
        <f>IF(OR(F6=0,C6=0),"",F6/C6-1)</f>
        <v/>
      </c>
      <c r="H6" s="18">
        <f>COUNTIFS(COTAÇÃO!$B$4:$B$200,$A6,COTAÇÃO!$O$4:$O$200,"&gt;0")</f>
        <v/>
      </c>
      <c r="I6" s="21">
        <f>IF(B6=0,0,H6/B6)</f>
        <v/>
      </c>
    </row>
    <row r="7">
      <c r="A7" s="9" t="inlineStr">
        <is>
          <t>externo</t>
        </is>
      </c>
      <c r="B7" s="18" t="n">
        <v>36</v>
      </c>
      <c r="C7" s="27">
        <f>SUMIF(COTAÇÃO!$B$4:$B$200,$A7,COTAÇÃO!$I$4:$I$200)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SUMIF(COTAÇÃO!$B$4:$B$200,$A7,COTAÇÃO!$T$4:$T$200)</f>
        <v/>
      </c>
      <c r="G7" s="21">
        <f>IF(OR(F7=0,C7=0),"",F7/C7-1)</f>
        <v/>
      </c>
      <c r="H7" s="18">
        <f>COUNTIFS(COTAÇÃO!$B$4:$B$200,$A7,COTAÇÃO!$O$4:$O$200,"&gt;0")</f>
        <v/>
      </c>
      <c r="I7" s="21">
        <f>IF(B7=0,0,H7/B7)</f>
        <v/>
      </c>
    </row>
    <row r="8">
      <c r="A8" s="9" t="inlineStr">
        <is>
          <t>esquadria</t>
        </is>
      </c>
      <c r="B8" s="18" t="n">
        <v>9</v>
      </c>
      <c r="C8" s="27">
        <f>SUMIF(COTAÇÃO!$B$4:$B$200,$A8,COTAÇÃO!$I$4:$I$200)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SUMIF(COTAÇÃO!$B$4:$B$200,$A8,COTAÇÃO!$T$4:$T$200)</f>
        <v/>
      </c>
      <c r="G8" s="21">
        <f>IF(OR(F8=0,C8=0),"",F8/C8-1)</f>
        <v/>
      </c>
      <c r="H8" s="18">
        <f>COUNTIFS(COTAÇÃO!$B$4:$B$200,$A8,COTAÇÃO!$O$4:$O$200,"&gt;0")</f>
        <v/>
      </c>
      <c r="I8" s="21">
        <f>IF(B8=0,0,H8/B8)</f>
        <v/>
      </c>
    </row>
    <row r="9">
      <c r="A9" s="9" t="inlineStr">
        <is>
          <t>fachada</t>
        </is>
      </c>
      <c r="B9" s="18" t="n">
        <v>12</v>
      </c>
      <c r="C9" s="27">
        <f>SUMIF(COTAÇÃO!$B$4:$B$200,$A9,COTAÇÃO!$I$4:$I$200)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SUMIF(COTAÇÃO!$B$4:$B$200,$A9,COTAÇÃO!$T$4:$T$200)</f>
        <v/>
      </c>
      <c r="G9" s="21">
        <f>IF(OR(F9=0,C9=0),"",F9/C9-1)</f>
        <v/>
      </c>
      <c r="H9" s="18">
        <f>COUNTIFS(COTAÇÃO!$B$4:$B$200,$A9,COTAÇÃO!$O$4:$O$200,"&gt;0")</f>
        <v/>
      </c>
      <c r="I9" s="21">
        <f>IF(B9=0,0,H9/B9)</f>
        <v/>
      </c>
    </row>
    <row r="10">
      <c r="A10" s="9" t="inlineStr">
        <is>
          <t>marcenaria</t>
        </is>
      </c>
      <c r="B10" s="18" t="n">
        <v>7</v>
      </c>
      <c r="C10" s="27">
        <f>SUMIF(COTAÇÃO!$B$4:$B$200,$A10,COTAÇÃO!$I$4:$I$200)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SUMIF(COTAÇÃO!$B$4:$B$200,$A10,COTAÇÃO!$T$4:$T$200)</f>
        <v/>
      </c>
      <c r="G10" s="21">
        <f>IF(OR(F10=0,C10=0),"",F10/C10-1)</f>
        <v/>
      </c>
      <c r="H10" s="18">
        <f>COUNTIFS(COTAÇÃO!$B$4:$B$200,$A10,COTAÇÃO!$O$4:$O$200,"&gt;0")</f>
        <v/>
      </c>
      <c r="I10" s="21">
        <f>IF(B10=0,0,H10/B10)</f>
        <v/>
      </c>
    </row>
    <row r="11">
      <c r="A11" s="9" t="inlineStr">
        <is>
          <t>eletrica</t>
        </is>
      </c>
      <c r="B11" s="18" t="n">
        <v>27</v>
      </c>
      <c r="C11" s="27">
        <f>SUMIF(COTAÇÃO!$B$4:$B$200,$A11,COTAÇÃO!$I$4:$I$200)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SUMIF(COTAÇÃO!$B$4:$B$200,$A11,COTAÇÃO!$T$4:$T$200)</f>
        <v/>
      </c>
      <c r="G11" s="21">
        <f>IF(OR(F11=0,C11=0),"",F11/C11-1)</f>
        <v/>
      </c>
      <c r="H11" s="18">
        <f>COUNTIFS(COTAÇÃO!$B$4:$B$200,$A11,COTAÇÃO!$O$4:$O$200,"&gt;0")</f>
        <v/>
      </c>
      <c r="I11" s="21">
        <f>IF(B11=0,0,H11/B11)</f>
        <v/>
      </c>
    </row>
    <row r="12">
      <c r="A12" s="9" t="inlineStr">
        <is>
          <t>revestimento</t>
        </is>
      </c>
      <c r="B12" s="18" t="n">
        <v>6</v>
      </c>
      <c r="C12" s="27">
        <f>SUMIF(COTAÇÃO!$B$4:$B$200,$A12,COTAÇÃO!$I$4:$I$200)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SUMIF(COTAÇÃO!$B$4:$B$200,$A12,COTAÇÃO!$T$4:$T$200)</f>
        <v/>
      </c>
      <c r="G12" s="21">
        <f>IF(OR(F12=0,C12=0),"",F12/C12-1)</f>
        <v/>
      </c>
      <c r="H12" s="18">
        <f>COUNTIFS(COTAÇÃO!$B$4:$B$200,$A12,COTAÇÃO!$O$4:$O$200,"&gt;0")</f>
        <v/>
      </c>
      <c r="I12" s="21">
        <f>IF(B12=0,0,H12/B12)</f>
        <v/>
      </c>
    </row>
    <row r="13">
      <c r="A13" s="9" t="inlineStr">
        <is>
          <t>fundacao</t>
        </is>
      </c>
      <c r="B13" s="18" t="n">
        <v>11</v>
      </c>
      <c r="C13" s="27">
        <f>SUMIF(COTAÇÃO!$B$4:$B$200,$A13,COTAÇÃO!$I$4:$I$200)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SUMIF(COTAÇÃO!$B$4:$B$200,$A13,COTAÇÃO!$T$4:$T$200)</f>
        <v/>
      </c>
      <c r="G13" s="21">
        <f>IF(OR(F13=0,C13=0),"",F13/C13-1)</f>
        <v/>
      </c>
      <c r="H13" s="18">
        <f>COUNTIFS(COTAÇÃO!$B$4:$B$200,$A13,COTAÇÃO!$O$4:$O$200,"&gt;0")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28</v>
      </c>
      <c r="C14" s="27">
        <f>SUMIF(COTAÇÃO!$B$4:$B$200,$A14,COTAÇÃO!$I$4:$I$200)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SUMIF(COTAÇÃO!$B$4:$B$200,$A14,COTAÇÃO!$T$4:$T$200)</f>
        <v/>
      </c>
      <c r="G14" s="21">
        <f>IF(OR(F14=0,C14=0),"",F14/C14-1)</f>
        <v/>
      </c>
      <c r="H14" s="18">
        <f>COUNTIFS(COTAÇÃO!$B$4:$B$200,$A14,COTAÇÃO!$O$4:$O$200,"&gt;0")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SUMIF(COTAÇÃO!$B$4:$B$200,$A15,COTAÇÃO!$I$4:$I$200)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SUMIF(COTAÇÃO!$B$4:$B$200,$A15,COTAÇÃO!$T$4:$T$200)</f>
        <v/>
      </c>
      <c r="G15" s="21">
        <f>IF(OR(F15=0,C15=0),"",F15/C15-1)</f>
        <v/>
      </c>
      <c r="H15" s="18">
        <f>COUNTIFS(COTAÇÃO!$B$4:$B$200,$A15,COTAÇÃO!$O$4:$O$200,"&gt;0")</f>
        <v/>
      </c>
      <c r="I15" s="21">
        <f>IF(B15=0,0,H15/B15)</f>
        <v/>
      </c>
    </row>
    <row r="16">
      <c r="A16" s="9" t="inlineStr">
        <is>
          <t>pintura</t>
        </is>
      </c>
      <c r="B16" s="18" t="n">
        <v>4</v>
      </c>
      <c r="C16" s="27">
        <f>SUMIF(COTAÇÃO!$B$4:$B$200,$A16,COTAÇÃO!$I$4:$I$200)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SUMIF(COTAÇÃO!$B$4:$B$200,$A16,COTAÇÃO!$T$4:$T$200)</f>
        <v/>
      </c>
      <c r="G16" s="21">
        <f>IF(OR(F16=0,C16=0),"",F16/C16-1)</f>
        <v/>
      </c>
      <c r="H16" s="18">
        <f>COUNTIFS(COTAÇÃO!$B$4:$B$200,$A16,COTAÇÃO!$O$4:$O$200,"&gt;0")</f>
        <v/>
      </c>
      <c r="I16" s="21">
        <f>IF(B16=0,0,H16/B16)</f>
        <v/>
      </c>
    </row>
    <row r="17">
      <c r="A17" s="9" t="inlineStr">
        <is>
          <t>loucas</t>
        </is>
      </c>
      <c r="B17" s="18" t="n">
        <v>17</v>
      </c>
      <c r="C17" s="27">
        <f>SUMIF(COTAÇÃO!$B$4:$B$200,$A17,COTAÇÃO!$I$4:$I$200)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SUMIF(COTAÇÃO!$B$4:$B$200,$A17,COTAÇÃO!$T$4:$T$200)</f>
        <v/>
      </c>
      <c r="G17" s="21">
        <f>IF(OR(F17=0,C17=0),"",F17/C17-1)</f>
        <v/>
      </c>
      <c r="H17" s="18">
        <f>COUNTIFS(COTAÇÃO!$B$4:$B$200,$A17,COTAÇÃO!$O$4:$O$200,"&gt;0")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SUMIF(COTAÇÃO!$B$4:$B$200,$A18,COTAÇÃO!$I$4:$I$200)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SUMIF(COTAÇÃO!$B$4:$B$200,$A18,COTAÇÃO!$T$4:$T$200)</f>
        <v/>
      </c>
      <c r="G18" s="21">
        <f>IF(OR(F18=0,C18=0),"",F18/C18-1)</f>
        <v/>
      </c>
      <c r="H18" s="18">
        <f>COUNTIFS(COTAÇÃO!$B$4:$B$200,$A18,COTAÇÃO!$O$4:$O$200,"&gt;0")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SUMIF(COTAÇÃO!$B$4:$B$200,$A19,COTAÇÃO!$I$4:$I$200)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SUMIF(COTAÇÃO!$B$4:$B$200,$A19,COTAÇÃO!$T$4:$T$200)</f>
        <v/>
      </c>
      <c r="G19" s="21">
        <f>IF(OR(F19=0,C19=0),"",F19/C19-1)</f>
        <v/>
      </c>
      <c r="H19" s="18">
        <f>COUNTIFS(COTAÇÃO!$B$4:$B$200,$A19,COTAÇÃO!$O$4:$O$200,"&gt;0")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SUMIF(COTAÇÃO!$B$4:$B$200,$A20,COTAÇÃO!$I$4:$I$200)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SUMIF(COTAÇÃO!$B$4:$B$200,$A20,COTAÇÃO!$T$4:$T$200)</f>
        <v/>
      </c>
      <c r="G20" s="21">
        <f>IF(OR(F20=0,C20=0),"",F20/C20-1)</f>
        <v/>
      </c>
      <c r="H20" s="18">
        <f>COUNTIFS(COTAÇÃO!$B$4:$B$200,$A20,COTAÇÃO!$O$4:$O$200,"&gt;0")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307.08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6698.1</v>
      </c>
      <c r="F4" s="11" t="inlineStr">
        <is>
          <t>perfil formado a frio em barra de 6.000 mm; aco ZAR 230, fy 230 MPa, fu 310 MPa; revestimento Z275; massa BRUTA, ja com a perda de corte (11.1 %)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EST-VIGA-W310x23.8</t>
        </is>
      </c>
      <c r="B5" s="10" t="inlineStr">
        <is>
          <t>estrutura</t>
        </is>
      </c>
      <c r="C5" s="11" t="inlineStr">
        <is>
          <t>Viga laminada W310x23.8</t>
        </is>
      </c>
      <c r="D5" s="10" t="inlineStr">
        <is>
          <t>kg</t>
        </is>
      </c>
      <c r="E5" s="14" t="n">
        <v>899.6</v>
      </c>
      <c r="F5" s="11" t="inlineStr"/>
      <c r="G5" s="11" t="inlineStr"/>
      <c r="H5" s="11" t="inlineStr">
        <is>
          <t>o modelo nao sabe descrever este item para um fornecedor</t>
        </is>
      </c>
      <c r="I5" s="18" t="inlineStr">
        <is>
          <t>com lacuna</t>
        </is>
      </c>
    </row>
    <row r="6">
      <c r="A6" s="9" t="inlineStr">
        <is>
          <t>EST-PILAR</t>
        </is>
      </c>
      <c r="B6" s="10" t="inlineStr">
        <is>
          <t>estrutura</t>
        </is>
      </c>
      <c r="C6" s="11" t="inlineStr">
        <is>
          <t>Pilar aparente: perfil metalico 200 x 200 mm (H)</t>
        </is>
      </c>
      <c r="D6" s="10" t="inlineStr">
        <is>
          <t>kg</t>
        </is>
      </c>
      <c r="E6" s="14" t="n">
        <v>787.1</v>
      </c>
      <c r="F6" s="11" t="inlineStr"/>
      <c r="G6" s="11" t="inlineStr"/>
      <c r="H6" s="11" t="inlineStr">
        <is>
          <t>o modelo nao sabe descrever este item para um fornecedor</t>
        </is>
      </c>
      <c r="I6" s="18" t="inlineStr">
        <is>
          <t>com lacuna</t>
        </is>
      </c>
    </row>
    <row r="7">
      <c r="A7" s="9" t="inlineStr">
        <is>
          <t>EST-PILAR-EMB</t>
        </is>
      </c>
      <c r="B7" s="10" t="inlineStr">
        <is>
          <t>estrutura</t>
        </is>
      </c>
      <c r="C7" s="11" t="inlineStr">
        <is>
          <t>Pilar embutido na parede: tubo estrutural 140 x 100 x 6,3 mm dentro da p</t>
        </is>
      </c>
      <c r="D7" s="10" t="inlineStr">
        <is>
          <t>kg</t>
        </is>
      </c>
      <c r="E7" s="14" t="n">
        <v>594</v>
      </c>
      <c r="F7" s="11" t="inlineStr"/>
      <c r="G7" s="11" t="inlineStr"/>
      <c r="H7" s="11" t="inlineStr">
        <is>
          <t>o modelo nao sabe descrever este item para um fornecedor</t>
        </is>
      </c>
      <c r="I7" s="18" t="inlineStr">
        <is>
          <t>com lacuna</t>
        </is>
      </c>
    </row>
    <row r="8">
      <c r="A8" s="9" t="inlineStr">
        <is>
          <t>EST-VIGA-W360x32.9</t>
        </is>
      </c>
      <c r="B8" s="10" t="inlineStr">
        <is>
          <t>estrutura</t>
        </is>
      </c>
      <c r="C8" s="11" t="inlineStr">
        <is>
          <t>Viga laminada W360x32.9</t>
        </is>
      </c>
      <c r="D8" s="10" t="inlineStr">
        <is>
          <t>kg</t>
        </is>
      </c>
      <c r="E8" s="14" t="n">
        <v>197.4</v>
      </c>
      <c r="F8" s="11" t="inlineStr"/>
      <c r="G8" s="11" t="inlineStr"/>
      <c r="H8" s="11" t="inlineStr">
        <is>
          <t>o modelo nao sabe descrever este item para um fornecedor</t>
        </is>
      </c>
      <c r="I8" s="18" t="inlineStr">
        <is>
          <t>com lacuna</t>
        </is>
      </c>
    </row>
    <row r="9">
      <c r="A9" s="9" t="inlineStr">
        <is>
          <t>EST-VIGA-W150x13.0</t>
        </is>
      </c>
      <c r="B9" s="10" t="inlineStr">
        <is>
          <t>estrutura</t>
        </is>
      </c>
      <c r="C9" s="11" t="inlineStr">
        <is>
          <t>Viga laminada W150x13.0</t>
        </is>
      </c>
      <c r="D9" s="10" t="inlineStr">
        <is>
          <t>kg</t>
        </is>
      </c>
      <c r="E9" s="14" t="n">
        <v>195</v>
      </c>
      <c r="F9" s="11" t="inlineStr"/>
      <c r="G9" s="11" t="inlineStr"/>
      <c r="H9" s="11" t="inlineStr">
        <is>
          <t>o modelo nao sabe descrever este item para um fornecedor</t>
        </is>
      </c>
      <c r="I9" s="18" t="inlineStr">
        <is>
          <t>com lacuna</t>
        </is>
      </c>
    </row>
    <row r="10">
      <c r="A10" s="9" t="inlineStr">
        <is>
          <t>EST-VIGA-W200x15.0</t>
        </is>
      </c>
      <c r="B10" s="10" t="inlineStr">
        <is>
          <t>estrutura</t>
        </is>
      </c>
      <c r="C10" s="11" t="inlineStr">
        <is>
          <t>Viga laminada W200x15.0</t>
        </is>
      </c>
      <c r="D10" s="10" t="inlineStr">
        <is>
          <t>kg</t>
        </is>
      </c>
      <c r="E10" s="14" t="n">
        <v>144</v>
      </c>
      <c r="F10" s="11" t="inlineStr"/>
      <c r="G10" s="11" t="inlineStr"/>
      <c r="H10" s="11" t="inlineStr">
        <is>
          <t>o modelo nao sabe descrever este item para um fornecedor</t>
        </is>
      </c>
      <c r="I10" s="18" t="inlineStr">
        <is>
          <t>com lacuna</t>
        </is>
      </c>
    </row>
    <row r="11">
      <c r="A11" s="9" t="inlineStr">
        <is>
          <t>GESSO-12,5</t>
        </is>
      </c>
      <c r="B11" s="10" t="inlineStr">
        <is>
          <t>vedacao</t>
        </is>
      </c>
      <c r="C11" s="11" t="inlineStr">
        <is>
          <t>Chapa de gesso 12.5 mm</t>
        </is>
      </c>
      <c r="D11" s="10" t="inlineStr">
        <is>
          <t>m2</t>
        </is>
      </c>
      <c r="E11" s="14" t="n">
        <v>1037.9</v>
      </c>
      <c r="F11" s="11" t="inlineStr">
        <is>
          <t>Chapa de gesso; chapa 1200 x 2400 mm; espessura 12.5 mm</t>
        </is>
      </c>
      <c r="G11" s="11" t="inlineStr">
        <is>
          <t>NBR 14715</t>
        </is>
      </c>
      <c r="H11" s="11" t="inlineStr"/>
      <c r="I11" s="18" t="inlineStr">
        <is>
          <t>sim</t>
        </is>
      </c>
    </row>
    <row r="12">
      <c r="A12" s="9" t="inlineStr">
        <is>
          <t>PIR-75</t>
        </is>
      </c>
      <c r="B12" s="10" t="inlineStr">
        <is>
          <t>vedacao</t>
        </is>
      </c>
      <c r="C12" s="11" t="inlineStr">
        <is>
          <t>PIR 75 mm</t>
        </is>
      </c>
      <c r="D12" s="10" t="inlineStr">
        <is>
          <t>m2</t>
        </is>
      </c>
      <c r="E12" s="14" t="n">
        <v>157.7</v>
      </c>
      <c r="F12" s="11" t="inlineStr">
        <is>
          <t>Painel sandwich PIR; chapa 1000 x 12000 mm; espessura 75 mm</t>
        </is>
      </c>
      <c r="G12" s="11" t="inlineStr">
        <is>
          <t>NBR 16373</t>
        </is>
      </c>
      <c r="H12" s="11" t="inlineStr"/>
      <c r="I12" s="18" t="inlineStr">
        <is>
          <t>sim</t>
        </is>
      </c>
    </row>
    <row r="13">
      <c r="A13" s="9" t="inlineStr">
        <is>
          <t>PLCIM-10</t>
        </is>
      </c>
      <c r="B13" s="10" t="inlineStr">
        <is>
          <t>vedacao</t>
        </is>
      </c>
      <c r="C13" s="11" t="inlineStr">
        <is>
          <t>Placa cimenticia 10 mm</t>
        </is>
      </c>
      <c r="D13" s="10" t="inlineStr">
        <is>
          <t>m2</t>
        </is>
      </c>
      <c r="E13" s="14" t="n">
        <v>329.4</v>
      </c>
      <c r="F13" s="11" t="inlineStr">
        <is>
          <t>Placa cimenticia; chapa 1200 x 2400 mm; espessura 10 mm</t>
        </is>
      </c>
      <c r="G13" s="11" t="inlineStr">
        <is>
          <t>NBR 15498</t>
        </is>
      </c>
      <c r="H13" s="11" t="inlineStr"/>
      <c r="I13" s="18" t="inlineStr">
        <is>
          <t>sim</t>
        </is>
      </c>
    </row>
    <row r="14">
      <c r="A14" s="9" t="inlineStr">
        <is>
          <t>LAROCHA-50</t>
        </is>
      </c>
      <c r="B14" s="10" t="inlineStr">
        <is>
          <t>vedacao</t>
        </is>
      </c>
      <c r="C14" s="11" t="inlineStr">
        <is>
          <t>La de rocha 50 mm</t>
        </is>
      </c>
      <c r="D14" s="10" t="inlineStr">
        <is>
          <t>m2</t>
        </is>
      </c>
      <c r="E14" s="14" t="n">
        <v>489.5</v>
      </c>
      <c r="F14" s="11" t="inlineStr">
        <is>
          <t>La de rocha; chapa 1200 x 25000 mm; espessura 50 mm</t>
        </is>
      </c>
      <c r="G14" s="11" t="inlineStr">
        <is>
          <t>NBR 11722</t>
        </is>
      </c>
      <c r="H14" s="11" t="inlineStr"/>
      <c r="I14" s="18" t="inlineStr">
        <is>
          <t>sim</t>
        </is>
      </c>
    </row>
    <row r="15">
      <c r="A15" s="9" t="inlineStr">
        <is>
          <t>XPS-20</t>
        </is>
      </c>
      <c r="B15" s="10" t="inlineStr">
        <is>
          <t>vedacao</t>
        </is>
      </c>
      <c r="C15" s="11" t="inlineStr">
        <is>
          <t>XPS (ISO strip) 20 mm</t>
        </is>
      </c>
      <c r="D15" s="10" t="inlineStr">
        <is>
          <t>m2</t>
        </is>
      </c>
      <c r="E15" s="14" t="n">
        <v>329.4</v>
      </c>
      <c r="F15" s="11" t="inlineStr">
        <is>
          <t>XPS; chapa 600 x 1250 mm; espessura 20 mm</t>
        </is>
      </c>
      <c r="G15" s="11" t="inlineStr">
        <is>
          <t>NBR 11752</t>
        </is>
      </c>
      <c r="H15" s="11" t="inlineStr"/>
      <c r="I15" s="18" t="inlineStr">
        <is>
          <t>sim</t>
        </is>
      </c>
    </row>
    <row r="16">
      <c r="A16" s="9" t="inlineStr">
        <is>
          <t>IMP-MANTA</t>
        </is>
      </c>
      <c r="B16" s="10" t="inlineStr">
        <is>
          <t>vedacao</t>
        </is>
      </c>
      <c r="C16" s="11" t="inlineStr">
        <is>
          <t>Impermeabilizacao de area molhada</t>
        </is>
      </c>
      <c r="D16" s="10" t="inlineStr">
        <is>
          <t>m2</t>
        </is>
      </c>
      <c r="E16" s="14" t="n">
        <v>131</v>
      </c>
      <c r="F16" s="11" t="inlineStr">
        <is>
          <t>chapa dobrada / manta conforme descricao</t>
        </is>
      </c>
      <c r="G16" s="11" t="inlineStr">
        <is>
          <t>NBR 10844, NBR 9575</t>
        </is>
      </c>
      <c r="H16" s="11" t="inlineStr"/>
      <c r="I16" s="18" t="inlineStr">
        <is>
          <t>sim</t>
        </is>
      </c>
    </row>
    <row r="17">
      <c r="A17" s="9" t="inlineStr">
        <is>
          <t>OSB-18</t>
        </is>
      </c>
      <c r="B17" s="10" t="inlineStr">
        <is>
          <t>vedacao</t>
        </is>
      </c>
      <c r="C17" s="11" t="inlineStr">
        <is>
          <t>OSB estrutural 18 mm</t>
        </is>
      </c>
      <c r="D17" s="10" t="inlineStr">
        <is>
          <t>m2</t>
        </is>
      </c>
      <c r="E17" s="14" t="n">
        <v>127.1</v>
      </c>
      <c r="F17" s="11" t="inlineStr">
        <is>
          <t>OSB estrutural; chapa 1220 x 2440 mm; espessura 18 mm</t>
        </is>
      </c>
      <c r="G17" s="11" t="inlineStr">
        <is>
          <t>NBR 14810 / EN 300</t>
        </is>
      </c>
      <c r="H17" s="11" t="inlineStr"/>
      <c r="I17" s="18" t="inlineStr">
        <is>
          <t>sim</t>
        </is>
      </c>
    </row>
    <row r="18">
      <c r="A18" s="9" t="inlineStr">
        <is>
          <t>CANT</t>
        </is>
      </c>
      <c r="B18" s="10" t="inlineStr">
        <is>
          <t>vedacao</t>
        </is>
      </c>
      <c r="C18" s="11" t="inlineStr">
        <is>
          <t>Cantoneira de canto e arremate</t>
        </is>
      </c>
      <c r="D18" s="10" t="inlineStr">
        <is>
          <t>m</t>
        </is>
      </c>
      <c r="E18" s="14" t="n">
        <v>1191.6</v>
      </c>
      <c r="F18" s="11" t="inlineStr">
        <is>
          <t>cantoneira de canto e arremate</t>
        </is>
      </c>
      <c r="G18" s="11" t="inlineStr">
        <is>
          <t>NBR 15758</t>
        </is>
      </c>
      <c r="H18" s="11" t="inlineStr"/>
      <c r="I18" s="18" t="inlineStr">
        <is>
          <t>sim</t>
        </is>
      </c>
    </row>
    <row r="19">
      <c r="A19" s="9" t="inlineStr">
        <is>
          <t>LAVIDRO-50</t>
        </is>
      </c>
      <c r="B19" s="10" t="inlineStr">
        <is>
          <t>vedacao</t>
        </is>
      </c>
      <c r="C19" s="11" t="inlineStr">
        <is>
          <t>La de vidro 50 mm</t>
        </is>
      </c>
      <c r="D19" s="10" t="inlineStr">
        <is>
          <t>m2</t>
        </is>
      </c>
      <c r="E19" s="14" t="n">
        <v>178.3</v>
      </c>
      <c r="F19" s="11" t="inlineStr">
        <is>
          <t>La de vidro; chapa 1200 x 25000 mm; espessura 50 mm</t>
        </is>
      </c>
      <c r="G19" s="11" t="inlineStr">
        <is>
          <t>NBR 11722</t>
        </is>
      </c>
      <c r="H19" s="11" t="inlineStr"/>
      <c r="I19" s="18" t="inlineStr">
        <is>
          <t>sim</t>
        </is>
      </c>
    </row>
    <row r="20">
      <c r="A20" s="9" t="inlineStr">
        <is>
          <t>FOR-PERFIL</t>
        </is>
      </c>
      <c r="B20" s="10" t="inlineStr">
        <is>
          <t>vedacao</t>
        </is>
      </c>
      <c r="C20" s="11" t="inlineStr">
        <is>
          <t>Forro: canaleta e travessa F530 galvanizada</t>
        </is>
      </c>
      <c r="D20" s="10" t="inlineStr">
        <is>
          <t>m</t>
        </is>
      </c>
      <c r="E20" s="14" t="n">
        <v>394.2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MASSA</t>
        </is>
      </c>
      <c r="B21" s="10" t="inlineStr">
        <is>
          <t>vedacao</t>
        </is>
      </c>
      <c r="C21" s="11" t="inlineStr">
        <is>
          <t>Massa para junta, 3 demaos</t>
        </is>
      </c>
      <c r="D21" s="10" t="inlineStr">
        <is>
          <t>m</t>
        </is>
      </c>
      <c r="E21" s="14" t="n">
        <v>958.8</v>
      </c>
      <c r="F21" s="11" t="inlineStr">
        <is>
          <t>massa para junta, aplicacao em 3 demaos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FOR-TABICA</t>
        </is>
      </c>
      <c r="B22" s="10" t="inlineStr">
        <is>
          <t>vedacao</t>
        </is>
      </c>
      <c r="C22" s="11" t="inlineStr">
        <is>
          <t>Forro: tabica perimetral de sombra</t>
        </is>
      </c>
      <c r="D22" s="10" t="inlineStr">
        <is>
          <t>m</t>
        </is>
      </c>
      <c r="E22" s="14" t="n">
        <v>147</v>
      </c>
      <c r="F22" s="11" t="inlineStr">
        <is>
          <t>perfilaria de forro em aco galvanizado, malha 600 x 1.200, pendural regulavel; tabica perimetral de sombra</t>
        </is>
      </c>
      <c r="G22" s="11" t="inlineStr">
        <is>
          <t>NBR 15758-2</t>
        </is>
      </c>
      <c r="H22" s="11" t="inlineStr"/>
      <c r="I22" s="18" t="inlineStr">
        <is>
          <t>sim</t>
        </is>
      </c>
    </row>
    <row r="23">
      <c r="A23" s="9" t="inlineStr">
        <is>
          <t>LAVIDRO-48</t>
        </is>
      </c>
      <c r="B23" s="10" t="inlineStr">
        <is>
          <t>vedacao</t>
        </is>
      </c>
      <c r="C23" s="11" t="inlineStr">
        <is>
          <t>La de vidro 48 mm</t>
        </is>
      </c>
      <c r="D23" s="10" t="inlineStr">
        <is>
          <t>m2</t>
        </is>
      </c>
      <c r="E23" s="14" t="n">
        <v>80.90000000000001</v>
      </c>
      <c r="F23" s="11" t="inlineStr">
        <is>
          <t>La de vidro; chapa 1200 x 25000 mm; espessura 48 mm</t>
        </is>
      </c>
      <c r="G23" s="11" t="inlineStr">
        <is>
          <t>NBR 11722</t>
        </is>
      </c>
      <c r="H23" s="11" t="inlineStr"/>
      <c r="I23" s="18" t="inlineStr">
        <is>
          <t>sim</t>
        </is>
      </c>
    </row>
    <row r="24">
      <c r="A24" s="9" t="inlineStr">
        <is>
          <t>GESSORU-12,5</t>
        </is>
      </c>
      <c r="B24" s="10" t="inlineStr">
        <is>
          <t>vedacao</t>
        </is>
      </c>
      <c r="C24" s="11" t="inlineStr">
        <is>
          <t>Chapa de gesso RU 12.5 mm</t>
        </is>
      </c>
      <c r="D24" s="10" t="inlineStr">
        <is>
          <t>m2</t>
        </is>
      </c>
      <c r="E24" s="14" t="n">
        <v>43.7</v>
      </c>
      <c r="F24" s="11" t="inlineStr">
        <is>
          <t>Chapa de gesso RU; chapa 1200 x 2400 mm; espessura 12.5 mm</t>
        </is>
      </c>
      <c r="G24" s="11" t="inlineStr">
        <is>
          <t>NBR 14715</t>
        </is>
      </c>
      <c r="H24" s="11" t="inlineStr"/>
      <c r="I24" s="18" t="inlineStr">
        <is>
          <t>sim</t>
        </is>
      </c>
    </row>
    <row r="25">
      <c r="A25" s="9" t="inlineStr">
        <is>
          <t>PAR-PLA</t>
        </is>
      </c>
      <c r="B25" s="10" t="inlineStr">
        <is>
          <t>vedacao</t>
        </is>
      </c>
      <c r="C25" s="11" t="inlineStr">
        <is>
          <t>Parafuso de placa 25 mm</t>
        </is>
      </c>
      <c r="D25" s="10" t="inlineStr">
        <is>
          <t>un</t>
        </is>
      </c>
      <c r="E25" s="14" t="n">
        <v>12666</v>
      </c>
      <c r="F25" s="11" t="inlineStr">
        <is>
          <t>tipos em uso: AB 4,8x19 ponta broca, AB 5,5x25 ponta broca</t>
        </is>
      </c>
      <c r="G25" s="11" t="inlineStr">
        <is>
          <t>NBR 14762 item 8.4</t>
        </is>
      </c>
      <c r="H25" s="11" t="inlineStr"/>
      <c r="I25" s="18" t="inlineStr">
        <is>
          <t>sim</t>
        </is>
      </c>
    </row>
    <row r="26">
      <c r="A26" s="9" t="inlineStr">
        <is>
          <t>FOR-TIRANTE</t>
        </is>
      </c>
      <c r="B26" s="10" t="inlineStr">
        <is>
          <t>vedacao</t>
        </is>
      </c>
      <c r="C26" s="11" t="inlineStr">
        <is>
          <t>Forro: pendural regulavel com tirante</t>
        </is>
      </c>
      <c r="D26" s="10" t="inlineStr">
        <is>
          <t>un</t>
        </is>
      </c>
      <c r="E26" s="14" t="n">
        <v>219</v>
      </c>
      <c r="F26" s="11" t="inlineStr">
        <is>
          <t>perfilaria de forro em aco galvanizado, malha 600 x 1.200, pendural regulavel; tabica perimetral de sombra</t>
        </is>
      </c>
      <c r="G26" s="11" t="inlineStr">
        <is>
          <t>NBR 15758-2</t>
        </is>
      </c>
      <c r="H26" s="11" t="inlineStr"/>
      <c r="I26" s="18" t="inlineStr">
        <is>
          <t>sim</t>
        </is>
      </c>
    </row>
    <row r="27">
      <c r="A27" s="9" t="inlineStr">
        <is>
          <t>FITA</t>
        </is>
      </c>
      <c r="B27" s="10" t="inlineStr">
        <is>
          <t>vedacao</t>
        </is>
      </c>
      <c r="C27" s="11" t="inlineStr">
        <is>
          <t>Fita de papel para junta</t>
        </is>
      </c>
      <c r="D27" s="10" t="inlineStr">
        <is>
          <t>m</t>
        </is>
      </c>
      <c r="E27" s="14" t="n">
        <v>958.8</v>
      </c>
      <c r="F27" s="11" t="inlineStr">
        <is>
          <t>fita de papel microperfurada para junta</t>
        </is>
      </c>
      <c r="G27" s="11" t="inlineStr">
        <is>
          <t>NBR 15758</t>
        </is>
      </c>
      <c r="H27" s="11" t="inlineStr">
        <is>
          <t>rendimento da embalagem (metros por rolo, metros por balde): o modelo mede COMPRIMENTO de junta, nao embalagem</t>
        </is>
      </c>
      <c r="I27" s="18" t="inlineStr">
        <is>
          <t>sim</t>
        </is>
      </c>
    </row>
    <row r="28">
      <c r="A28" s="9" t="inlineStr">
        <is>
          <t>COB-RUFO</t>
        </is>
      </c>
      <c r="B28" s="10" t="inlineStr">
        <is>
          <t>cobertura</t>
        </is>
      </c>
      <c r="C28" s="11" t="inlineStr">
        <is>
          <t>Rufo e contrarrufo</t>
        </is>
      </c>
      <c r="D28" s="10" t="inlineStr">
        <is>
          <t>m</t>
        </is>
      </c>
      <c r="E28" s="14" t="n">
        <v>147</v>
      </c>
      <c r="F28" s="11" t="inlineStr">
        <is>
          <t>chapa dobrada / manta conforme descricao</t>
        </is>
      </c>
      <c r="G28" s="11" t="inlineStr">
        <is>
          <t>NBR 10844, NBR 9575</t>
        </is>
      </c>
      <c r="H28" s="11" t="inlineStr"/>
      <c r="I28" s="18" t="inlineStr">
        <is>
          <t>sim</t>
        </is>
      </c>
    </row>
    <row r="29">
      <c r="A29" s="9" t="inlineStr">
        <is>
          <t>COB-CALHA</t>
        </is>
      </c>
      <c r="B29" s="10" t="inlineStr">
        <is>
          <t>cobertura</t>
        </is>
      </c>
      <c r="C29" s="11" t="inlineStr">
        <is>
          <t>Calha externa 150x100 mm</t>
        </is>
      </c>
      <c r="D29" s="10" t="inlineStr">
        <is>
          <t>m</t>
        </is>
      </c>
      <c r="E29" s="14" t="n">
        <v>73.5</v>
      </c>
      <c r="F29" s="11" t="inlineStr">
        <is>
          <t>chapa dobrada / manta conforme descricao</t>
        </is>
      </c>
      <c r="G29" s="11" t="inlineStr">
        <is>
          <t>NBR 10844, NBR 9575</t>
        </is>
      </c>
      <c r="H29" s="11" t="inlineStr"/>
      <c r="I29" s="18" t="inlineStr">
        <is>
          <t>sim</t>
        </is>
      </c>
    </row>
    <row r="30">
      <c r="A30" s="9" t="inlineStr">
        <is>
          <t>PLA-PLACA</t>
        </is>
      </c>
      <c r="B30" s="10" t="inlineStr">
        <is>
          <t>cobertura</t>
        </is>
      </c>
      <c r="C30" s="11" t="inlineStr">
        <is>
          <t>Platibanda: fechamento em placa cimenticia, duas faces</t>
        </is>
      </c>
      <c r="D30" s="10" t="inlineStr">
        <is>
          <t>m2</t>
        </is>
      </c>
      <c r="E30" s="14" t="n">
        <v>71.3</v>
      </c>
      <c r="F30" s="11" t="inlineStr"/>
      <c r="G30" s="11" t="inlineStr"/>
      <c r="H30" s="11" t="inlineStr">
        <is>
          <t>o modelo nao sabe descrever este item para um fornecedor</t>
        </is>
      </c>
      <c r="I30" s="18" t="inlineStr">
        <is>
          <t>com lacuna</t>
        </is>
      </c>
    </row>
    <row r="31">
      <c r="A31" s="9" t="inlineStr">
        <is>
          <t>PLA-GUIA</t>
        </is>
      </c>
      <c r="B31" s="10" t="inlineStr">
        <is>
          <t>cobertura</t>
        </is>
      </c>
      <c r="C31" s="11" t="inlineStr">
        <is>
          <t>Platibanda: guia U 92x38x0,95</t>
        </is>
      </c>
      <c r="D31" s="10" t="inlineStr">
        <is>
          <t>m</t>
        </is>
      </c>
      <c r="E31" s="14" t="n">
        <v>129.6</v>
      </c>
      <c r="F31" s="11" t="inlineStr"/>
      <c r="G31" s="11" t="inlineStr"/>
      <c r="H31" s="11" t="inlineStr">
        <is>
          <t>o modelo nao sabe descrever este item para um fornecedor</t>
        </is>
      </c>
      <c r="I31" s="18" t="inlineStr">
        <is>
          <t>com lacuna</t>
        </is>
      </c>
    </row>
    <row r="32">
      <c r="A32" s="9" t="inlineStr">
        <is>
          <t>COB-PAR</t>
        </is>
      </c>
      <c r="B32" s="10" t="inlineStr">
        <is>
          <t>cobertura</t>
        </is>
      </c>
      <c r="C32" s="11" t="inlineStr">
        <is>
          <t>Parafuso de fixacao do painel</t>
        </is>
      </c>
      <c r="D32" s="10" t="inlineStr">
        <is>
          <t>un</t>
        </is>
      </c>
      <c r="E32" s="14" t="n">
        <v>630</v>
      </c>
      <c r="F32" s="11" t="inlineStr">
        <is>
          <t>chapa dobrada / manta conforme descricao</t>
        </is>
      </c>
      <c r="G32" s="11" t="inlineStr">
        <is>
          <t>NBR 10844, NBR 9575</t>
        </is>
      </c>
      <c r="H32" s="11" t="inlineStr"/>
      <c r="I32" s="18" t="inlineStr">
        <is>
          <t>sim</t>
        </is>
      </c>
    </row>
    <row r="33">
      <c r="A33" s="9" t="inlineStr">
        <is>
          <t>COB-CUME</t>
        </is>
      </c>
      <c r="B33" s="10" t="inlineStr">
        <is>
          <t>cobertura</t>
        </is>
      </c>
      <c r="C33" s="11" t="inlineStr">
        <is>
          <t>Cumeeira</t>
        </is>
      </c>
      <c r="D33" s="10" t="inlineStr">
        <is>
          <t>m</t>
        </is>
      </c>
      <c r="E33" s="14" t="n">
        <v>13.4</v>
      </c>
      <c r="F33" s="11" t="inlineStr">
        <is>
          <t>chapa dobrada / manta conforme descricao</t>
        </is>
      </c>
      <c r="G33" s="11" t="inlineStr">
        <is>
          <t>NBR 10844, NBR 9575</t>
        </is>
      </c>
      <c r="H33" s="11" t="inlineStr"/>
      <c r="I33" s="18" t="inlineStr">
        <is>
          <t>sim</t>
        </is>
      </c>
    </row>
    <row r="34">
      <c r="A34" s="9" t="inlineStr">
        <is>
          <t>PLA-MONT</t>
        </is>
      </c>
      <c r="B34" s="10" t="inlineStr">
        <is>
          <t>cobertura</t>
        </is>
      </c>
      <c r="C34" s="11" t="inlineStr">
        <is>
          <t>Platibanda: montante Ue 90x40x12x0,95</t>
        </is>
      </c>
      <c r="D34" s="10" t="inlineStr">
        <is>
          <t>m</t>
        </is>
      </c>
      <c r="E34" s="14" t="n">
        <v>60</v>
      </c>
      <c r="F34" s="11" t="inlineStr"/>
      <c r="G34" s="11" t="inlineStr"/>
      <c r="H34" s="11" t="inlineStr">
        <is>
          <t>o modelo nao sabe descrever este item para um fornecedor</t>
        </is>
      </c>
      <c r="I34" s="18" t="inlineStr">
        <is>
          <t>com lacuna</t>
        </is>
      </c>
    </row>
    <row r="35">
      <c r="A35" s="9" t="inlineStr">
        <is>
          <t>ESQ-CAIX</t>
        </is>
      </c>
      <c r="B35" s="10" t="inlineStr">
        <is>
          <t>esquadria</t>
        </is>
      </c>
      <c r="C35" s="11" t="inlineStr">
        <is>
          <t>Caixilho de aluminio</t>
        </is>
      </c>
      <c r="D35" s="10" t="inlineStr">
        <is>
          <t>m</t>
        </is>
      </c>
      <c r="E35" s="14" t="n">
        <v>298.1</v>
      </c>
      <c r="F35" s="11" t="inlineStr">
        <is>
          <t>caixilho de aluminio com desempenho ENSAIADO do sistema; vidro conforme quadro, 59.64 m2</t>
        </is>
      </c>
      <c r="G35" s="11" t="inlineStr">
        <is>
          <t>NBR 10821</t>
        </is>
      </c>
      <c r="H35" s="11" t="inlineStr">
        <is>
          <t>classificacao de estanqueidade a agua, ao ar e a carga de vento — exige relatorio de ensaio, nunca valor</t>
        </is>
      </c>
      <c r="I35" s="18" t="inlineStr">
        <is>
          <t>sim</t>
        </is>
      </c>
    </row>
    <row r="36">
      <c r="A36" s="9" t="inlineStr">
        <is>
          <t>ESQ-VIDRO</t>
        </is>
      </c>
      <c r="B36" s="10" t="inlineStr">
        <is>
          <t>esquadria</t>
        </is>
      </c>
      <c r="C36" s="11" t="inlineStr">
        <is>
          <t>Vidro (ver especificacao por vao)</t>
        </is>
      </c>
      <c r="D36" s="10" t="inlineStr">
        <is>
          <t>m2</t>
        </is>
      </c>
      <c r="E36" s="14" t="n">
        <v>59.64</v>
      </c>
      <c r="F36" s="11" t="inlineStr">
        <is>
          <t>caixilho de aluminio com desempenho ENSAIADO do sistema; vidro conforme quadro, 59.64 m2</t>
        </is>
      </c>
      <c r="G36" s="11" t="inlineStr">
        <is>
          <t>NBR 10821</t>
        </is>
      </c>
      <c r="H36" s="11" t="inlineStr">
        <is>
          <t>classificacao de estanqueidade a agua, ao ar e a carga de vento — exige relatorio de ensaio, nunca valor</t>
        </is>
      </c>
      <c r="I36" s="18" t="inlineStr">
        <is>
          <t>sim</t>
        </is>
      </c>
    </row>
    <row r="37">
      <c r="A37" s="9" t="inlineStr">
        <is>
          <t>ESQ-VIDRO-LOWE</t>
        </is>
      </c>
      <c r="B37" s="10" t="inlineStr">
        <is>
          <t>esquadria</t>
        </is>
      </c>
      <c r="C37" s="11" t="inlineStr">
        <is>
          <t>Acrescimo: laminado low-e (g &lt;= 0,35) sobre o vidro base</t>
        </is>
      </c>
      <c r="D37" s="10" t="inlineStr">
        <is>
          <t>m2</t>
        </is>
      </c>
      <c r="E37" s="14" t="n">
        <v>24.48</v>
      </c>
      <c r="F37" s="11" t="inlineStr">
        <is>
          <t>caixilho de aluminio com desempenho ENSAIADO do sistema; vidro conforme quadro, 59.64 m2</t>
        </is>
      </c>
      <c r="G37" s="11" t="inlineStr">
        <is>
          <t>NBR 10821</t>
        </is>
      </c>
      <c r="H37" s="11" t="inlineStr">
        <is>
          <t>classificacao de estanqueidade a agua, ao ar e a carga de vento — exige relatorio de ensaio, nunca valor</t>
        </is>
      </c>
      <c r="I37" s="18" t="inlineStr">
        <is>
          <t>sim</t>
        </is>
      </c>
    </row>
    <row r="38">
      <c r="A38" s="9" t="inlineStr">
        <is>
          <t>FER-TRILHO</t>
        </is>
      </c>
      <c r="B38" s="10" t="inlineStr">
        <is>
          <t>esquadria</t>
        </is>
      </c>
      <c r="C38" s="11" t="inlineStr">
        <is>
          <t>Ferragem: trilho</t>
        </is>
      </c>
      <c r="D38" s="10" t="inlineStr">
        <is>
          <t>m</t>
        </is>
      </c>
      <c r="E38" s="14" t="n">
        <v>45.4</v>
      </c>
      <c r="F38" s="11" t="inlineStr">
        <is>
          <t>ferragem de esquadria conforme quadro de vaos; acabamento e sentido de abertura por vao</t>
        </is>
      </c>
      <c r="G38" s="11" t="inlineStr">
        <is>
          <t>NBR 10821</t>
        </is>
      </c>
      <c r="H38" s="11" t="inlineStr">
        <is>
          <t>linha e fabricante da ferragem: a norma de desempenho e do SISTEMA esquadria + ferragem, e cotar ferragem solta nao garante o ensaio</t>
        </is>
      </c>
      <c r="I38" s="18" t="inlineStr">
        <is>
          <t>sim</t>
        </is>
      </c>
    </row>
    <row r="39">
      <c r="A39" s="9" t="inlineStr">
        <is>
          <t>FER-BATENT</t>
        </is>
      </c>
      <c r="B39" s="10" t="inlineStr">
        <is>
          <t>esquadria</t>
        </is>
      </c>
      <c r="C39" s="11" t="inlineStr">
        <is>
          <t>Ferragem: batente</t>
        </is>
      </c>
      <c r="D39" s="10" t="inlineStr">
        <is>
          <t>un</t>
        </is>
      </c>
      <c r="E39" s="14" t="n">
        <v>14</v>
      </c>
      <c r="F39" s="11" t="inlineStr">
        <is>
          <t>ferragem de esquadria conforme quadro de vaos; acabamento e sentido de abertura por vao</t>
        </is>
      </c>
      <c r="G39" s="11" t="inlineStr">
        <is>
          <t>NBR 10821</t>
        </is>
      </c>
      <c r="H39" s="11" t="inlineStr">
        <is>
          <t>linha e fabricante da ferragem: a norma de desempenho e do SISTEMA esquadria + ferragem, e cotar ferragem solta nao garante o ensaio</t>
        </is>
      </c>
      <c r="I39" s="18" t="inlineStr">
        <is>
          <t>sim</t>
        </is>
      </c>
    </row>
    <row r="40">
      <c r="A40" s="9" t="inlineStr">
        <is>
          <t>FER-FECHO</t>
        </is>
      </c>
      <c r="B40" s="10" t="inlineStr">
        <is>
          <t>esquadria</t>
        </is>
      </c>
      <c r="C40" s="11" t="inlineStr">
        <is>
          <t>Ferragem: fecho</t>
        </is>
      </c>
      <c r="D40" s="10" t="inlineStr">
        <is>
          <t>un</t>
        </is>
      </c>
      <c r="E40" s="14" t="n">
        <v>56</v>
      </c>
      <c r="F40" s="11" t="inlineStr">
        <is>
          <t>ferragem de esquadria conforme quadro de vaos; acabamento e sentido de abertura por vao</t>
        </is>
      </c>
      <c r="G40" s="11" t="inlineStr">
        <is>
          <t>NBR 10821</t>
        </is>
      </c>
      <c r="H40" s="11" t="inlineStr">
        <is>
          <t>linha e fabricante da ferragem: a norma de desempenho e do SISTEMA esquadria + ferragem, e cotar ferragem solta nao garante o ensaio</t>
        </is>
      </c>
      <c r="I40" s="18" t="inlineStr">
        <is>
          <t>sim</t>
        </is>
      </c>
    </row>
    <row r="41">
      <c r="A41" s="9" t="inlineStr">
        <is>
          <t>FER-ROLDAN</t>
        </is>
      </c>
      <c r="B41" s="10" t="inlineStr">
        <is>
          <t>esquadria</t>
        </is>
      </c>
      <c r="C41" s="11" t="inlineStr">
        <is>
          <t>Ferragem: roldana</t>
        </is>
      </c>
      <c r="D41" s="10" t="inlineStr">
        <is>
          <t>un</t>
        </is>
      </c>
      <c r="E41" s="14" t="n">
        <v>116</v>
      </c>
      <c r="F41" s="11" t="inlineStr">
        <is>
          <t>ferragem de esquadria conforme quadro de vaos; acabamento e sentido de abertura por vao</t>
        </is>
      </c>
      <c r="G41" s="11" t="inlineStr">
        <is>
          <t>NBR 10821</t>
        </is>
      </c>
      <c r="H41" s="11" t="inlineStr">
        <is>
          <t>linha e fabricante da ferragem: a norma de desempenho e do SISTEMA esquadria + ferragem, e cotar ferragem solta nao garante o ensaio</t>
        </is>
      </c>
      <c r="I41" s="18" t="inlineStr">
        <is>
          <t>sim</t>
        </is>
      </c>
    </row>
    <row r="42">
      <c r="A42" s="9" t="inlineStr">
        <is>
          <t>FER-FECHAD</t>
        </is>
      </c>
      <c r="B42" s="10" t="inlineStr">
        <is>
          <t>esquadria</t>
        </is>
      </c>
      <c r="C42" s="11" t="inlineStr">
        <is>
          <t>Ferragem: fechadura</t>
        </is>
      </c>
      <c r="D42" s="10" t="inlineStr">
        <is>
          <t>un</t>
        </is>
      </c>
      <c r="E42" s="14" t="n">
        <v>14</v>
      </c>
      <c r="F42" s="11" t="inlineStr">
        <is>
          <t>ferragem de esquadria conforme quadro de vaos; acabamento e sentido de abertura por vao</t>
        </is>
      </c>
      <c r="G42" s="11" t="inlineStr">
        <is>
          <t>NBR 10821</t>
        </is>
      </c>
      <c r="H42" s="11" t="inlineStr">
        <is>
          <t>linha e fabricante da ferragem: a norma de desempenho e do SISTEMA esquadria + ferragem, e cotar ferragem solta nao garante o ensaio</t>
        </is>
      </c>
      <c r="I42" s="18" t="inlineStr">
        <is>
          <t>sim</t>
        </is>
      </c>
    </row>
    <row r="43">
      <c r="A43" s="9" t="inlineStr">
        <is>
          <t>FER-DOBRAD</t>
        </is>
      </c>
      <c r="B43" s="10" t="inlineStr">
        <is>
          <t>esquadria</t>
        </is>
      </c>
      <c r="C43" s="11" t="inlineStr">
        <is>
          <t>Ferragem: dobradica</t>
        </is>
      </c>
      <c r="D43" s="10" t="inlineStr">
        <is>
          <t>un</t>
        </is>
      </c>
      <c r="E43" s="14" t="n">
        <v>42</v>
      </c>
      <c r="F43" s="11" t="inlineStr">
        <is>
          <t>ferragem de esquadria conforme quadro de vaos; acabamento e sentido de abertura por vao</t>
        </is>
      </c>
      <c r="G43" s="11" t="inlineStr">
        <is>
          <t>NBR 10821</t>
        </is>
      </c>
      <c r="H43" s="11" t="inlineStr">
        <is>
          <t>linha e fabricante da ferragem: a norma de desempenho e do SISTEMA esquadria + ferragem, e cotar ferragem solta nao garante o ensaio</t>
        </is>
      </c>
      <c r="I43" s="18" t="inlineStr">
        <is>
          <t>sim</t>
        </is>
      </c>
    </row>
    <row r="44">
      <c r="A44" s="9" t="inlineStr">
        <is>
          <t>FUN-CONC</t>
        </is>
      </c>
      <c r="B44" s="10" t="inlineStr">
        <is>
          <t>fundacao</t>
        </is>
      </c>
      <c r="C44" s="11" t="inlineStr">
        <is>
          <t>Concreto fck 30 MPa</t>
        </is>
      </c>
      <c r="D44" s="10" t="inlineStr">
        <is>
          <t>m3</t>
        </is>
      </c>
      <c r="E44" s="14" t="n">
        <v>37.74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FUN-ACO</t>
        </is>
      </c>
      <c r="B45" s="10" t="inlineStr">
        <is>
          <t>fundacao</t>
        </is>
      </c>
      <c r="C45" s="11" t="inlineStr">
        <is>
          <t>Aco CA-50 para radier</t>
        </is>
      </c>
      <c r="D45" s="10" t="inlineStr">
        <is>
          <t>kg</t>
        </is>
      </c>
      <c r="E45" s="14" t="n">
        <v>1530.2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FUN-SUBST</t>
        </is>
      </c>
      <c r="B46" s="10" t="inlineStr">
        <is>
          <t>fundacao</t>
        </is>
      </c>
      <c r="C46" s="11" t="inlineStr">
        <is>
          <t>Substituicao: areia grossa com brita graduada</t>
        </is>
      </c>
      <c r="D46" s="10" t="inlineStr">
        <is>
          <t>m3</t>
        </is>
      </c>
      <c r="E46" s="14" t="n">
        <v>109.1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FUN-TELA</t>
        </is>
      </c>
      <c r="B47" s="10" t="inlineStr">
        <is>
          <t>fundacao</t>
        </is>
      </c>
      <c r="C47" s="11" t="inlineStr">
        <is>
          <t>Tela soldada Q196</t>
        </is>
      </c>
      <c r="D47" s="10" t="inlineStr">
        <is>
          <t>m2</t>
        </is>
      </c>
      <c r="E47" s="14" t="n">
        <v>410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FUN-BOTA</t>
        </is>
      </c>
      <c r="B48" s="10" t="inlineStr">
        <is>
          <t>fundacao</t>
        </is>
      </c>
      <c r="C48" s="11" t="inlineStr">
        <is>
          <t>Bota-fora do material escavado (empolado 25 %)</t>
        </is>
      </c>
      <c r="D48" s="10" t="inlineStr">
        <is>
          <t>m3</t>
        </is>
      </c>
      <c r="E48" s="14" t="n">
        <v>163.6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FUN-ESCAV</t>
        </is>
      </c>
      <c r="B49" s="10" t="inlineStr">
        <is>
          <t>fundacao</t>
        </is>
      </c>
      <c r="C49" s="11" t="inlineStr">
        <is>
          <t>Escavacao do aterro superficial reprovado</t>
        </is>
      </c>
      <c r="D49" s="10" t="inlineStr">
        <is>
          <t>m3</t>
        </is>
      </c>
      <c r="E49" s="14" t="n">
        <v>130.9</v>
      </c>
      <c r="F49" s="11" t="inlineStr">
        <is>
          <t>fck 30 MPa, aco CA-50, tela Q196; (H) ate a sondagem: a especificacao muda com o laudo</t>
        </is>
      </c>
      <c r="G49" s="11" t="inlineStr">
        <is>
          <t>NBR 12655, NBR 6118, NBR 6122</t>
        </is>
      </c>
      <c r="H49" s="11" t="inlineStr"/>
      <c r="I49" s="18" t="inlineStr">
        <is>
          <t>sim</t>
        </is>
      </c>
    </row>
    <row r="50">
      <c r="A50" s="9" t="inlineStr">
        <is>
          <t>FUN-LASTRO</t>
        </is>
      </c>
      <c r="B50" s="10" t="inlineStr">
        <is>
          <t>fundacao</t>
        </is>
      </c>
      <c r="C50" s="11" t="inlineStr">
        <is>
          <t>Lastro de brita graduada</t>
        </is>
      </c>
      <c r="D50" s="10" t="inlineStr">
        <is>
          <t>m3</t>
        </is>
      </c>
      <c r="E50" s="14" t="n">
        <v>21.8</v>
      </c>
      <c r="F50" s="11" t="inlineStr">
        <is>
          <t>fck 30 MPa, aco CA-50, tela Q196; (H) ate a sondagem: a especificacao muda com o laudo</t>
        </is>
      </c>
      <c r="G50" s="11" t="inlineStr">
        <is>
          <t>NBR 12655, NBR 6118, NBR 6122</t>
        </is>
      </c>
      <c r="H50" s="11" t="inlineStr"/>
      <c r="I50" s="18" t="inlineStr">
        <is>
          <t>sim</t>
        </is>
      </c>
    </row>
    <row r="51">
      <c r="A51" s="9" t="inlineStr">
        <is>
          <t>FUN-COMP</t>
        </is>
      </c>
      <c r="B51" s="10" t="inlineStr">
        <is>
          <t>fundacao</t>
        </is>
      </c>
      <c r="C51" s="11" t="inlineStr">
        <is>
          <t>Compactacao controlada, camadas de 250 mm</t>
        </is>
      </c>
      <c r="D51" s="10" t="inlineStr">
        <is>
          <t>m3</t>
        </is>
      </c>
      <c r="E51" s="14" t="n">
        <v>109.1</v>
      </c>
      <c r="F51" s="11" t="inlineStr">
        <is>
          <t>fck 30 MPa, aco CA-50, tela Q196; (H) ate a sondagem: a especificacao muda com o laudo</t>
        </is>
      </c>
      <c r="G51" s="11" t="inlineStr">
        <is>
          <t>NBR 12655, NBR 6118, NBR 6122</t>
        </is>
      </c>
      <c r="H51" s="11" t="inlineStr"/>
      <c r="I51" s="18" t="inlineStr">
        <is>
          <t>sim</t>
        </is>
      </c>
    </row>
    <row r="52">
      <c r="A52" s="9" t="inlineStr">
        <is>
          <t>FUN-FORMA</t>
        </is>
      </c>
      <c r="B52" s="10" t="inlineStr">
        <is>
          <t>fundacao</t>
        </is>
      </c>
      <c r="C52" s="11" t="inlineStr">
        <is>
          <t>Forma de borda e engrossamento do perimetro</t>
        </is>
      </c>
      <c r="D52" s="10" t="inlineStr">
        <is>
          <t>m2</t>
        </is>
      </c>
      <c r="E52" s="14" t="n">
        <v>25.4</v>
      </c>
      <c r="F52" s="11" t="inlineStr">
        <is>
          <t>fck 30 MPa, aco CA-50, tela Q196; (H) ate a sondagem: a especificacao muda com o laudo</t>
        </is>
      </c>
      <c r="G52" s="11" t="inlineStr">
        <is>
          <t>NBR 12655, NBR 6118, NBR 6122</t>
        </is>
      </c>
      <c r="H52" s="11" t="inlineStr"/>
      <c r="I52" s="18" t="inlineStr">
        <is>
          <t>sim</t>
        </is>
      </c>
    </row>
    <row r="53">
      <c r="A53" s="9" t="inlineStr">
        <is>
          <t>FUN-ENSAIO</t>
        </is>
      </c>
      <c r="B53" s="10" t="inlineStr">
        <is>
          <t>fundacao</t>
        </is>
      </c>
      <c r="C53" s="11" t="inlineStr">
        <is>
          <t>Ensaio de densidade in situ por camada</t>
        </is>
      </c>
      <c r="D53" s="10" t="inlineStr">
        <is>
          <t>un</t>
        </is>
      </c>
      <c r="E53" s="14" t="n">
        <v>4</v>
      </c>
      <c r="F53" s="11" t="inlineStr">
        <is>
          <t>fck 30 MPa, aco CA-50, tela Q196; (H) ate a sondagem: a especificacao muda com o laudo</t>
        </is>
      </c>
      <c r="G53" s="11" t="inlineStr">
        <is>
          <t>NBR 12655, NBR 6118, NBR 6122</t>
        </is>
      </c>
      <c r="H53" s="11" t="inlineStr"/>
      <c r="I53" s="18" t="inlineStr">
        <is>
          <t>sim</t>
        </is>
      </c>
    </row>
    <row r="54">
      <c r="A54" s="9" t="inlineStr">
        <is>
          <t>FUN-LONA</t>
        </is>
      </c>
      <c r="B54" s="10" t="inlineStr">
        <is>
          <t>fundacao</t>
        </is>
      </c>
      <c r="C54" s="11" t="inlineStr">
        <is>
          <t>Lona plastica sob o radier</t>
        </is>
      </c>
      <c r="D54" s="10" t="inlineStr">
        <is>
          <t>m2</t>
        </is>
      </c>
      <c r="E54" s="14" t="n">
        <v>205</v>
      </c>
      <c r="F54" s="11" t="inlineStr">
        <is>
          <t>fck 30 MPa, aco CA-50, tela Q196; (H) ate a sondagem: a especificacao muda com o laudo</t>
        </is>
      </c>
      <c r="G54" s="11" t="inlineStr">
        <is>
          <t>NBR 12655, NBR 6118, NBR 6122</t>
        </is>
      </c>
      <c r="H54" s="11" t="inlineStr"/>
      <c r="I54" s="18" t="inlineStr">
        <is>
          <t>sim</t>
        </is>
      </c>
    </row>
    <row r="55">
      <c r="A55" s="9" t="inlineStr">
        <is>
          <t>MEP-CABO</t>
        </is>
      </c>
      <c r="B55" s="10" t="inlineStr">
        <is>
          <t>instalacao</t>
        </is>
      </c>
      <c r="C55" s="11" t="inlineStr">
        <is>
          <t>Cabo de cobre (fase, neutro e terra), por circuito e secao</t>
        </is>
      </c>
      <c r="D55" s="10" t="inlineStr">
        <is>
          <t>m</t>
        </is>
      </c>
      <c r="E55" s="14" t="n">
        <v>2784</v>
      </c>
      <c r="F55" s="11" t="inlineStr">
        <is>
          <t>tubo, conexao ou condutor conforme descricao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MEP-ELET</t>
        </is>
      </c>
      <c r="B56" s="10" t="inlineStr">
        <is>
          <t>instalacao</t>
        </is>
      </c>
      <c r="C56" s="11" t="inlineStr">
        <is>
          <t>Eletroduto flexivel (arvore dos circuitos, parede a parede)</t>
        </is>
      </c>
      <c r="D56" s="10" t="inlineStr">
        <is>
          <t>m</t>
        </is>
      </c>
      <c r="E56" s="14" t="n">
        <v>1545.6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FIX-06</t>
        </is>
      </c>
      <c r="B57" s="10" t="inlineStr">
        <is>
          <t>instalacao</t>
        </is>
      </c>
      <c r="C57" s="11" t="inlineStr">
        <is>
          <t>Bucha passa-fio 25 mm (montante atravessado)</t>
        </is>
      </c>
      <c r="D57" s="10" t="inlineStr">
        <is>
          <t>un</t>
        </is>
      </c>
      <c r="E57" s="14" t="n">
        <v>2931</v>
      </c>
      <c r="F57" s="11" t="inlineStr"/>
      <c r="G57" s="11" t="inlineStr"/>
      <c r="H57" s="11" t="inlineStr">
        <is>
          <t>o modelo nao sabe descrever este item para um fornecedor</t>
        </is>
      </c>
      <c r="I57" s="18" t="inlineStr">
        <is>
          <t>com lacuna</t>
        </is>
      </c>
    </row>
    <row r="58">
      <c r="A58" s="9" t="inlineStr">
        <is>
          <t>MEP-FRIGO</t>
        </is>
      </c>
      <c r="B58" s="10" t="inlineStr">
        <is>
          <t>instalacao</t>
        </is>
      </c>
      <c r="C58" s="11" t="inlineStr">
        <is>
          <t>Linha frigorigena</t>
        </is>
      </c>
      <c r="D58" s="10" t="inlineStr">
        <is>
          <t>m</t>
        </is>
      </c>
      <c r="E58" s="14" t="n">
        <v>56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MEP-CONEX</t>
        </is>
      </c>
      <c r="B59" s="10" t="inlineStr">
        <is>
          <t>instalacao</t>
        </is>
      </c>
      <c r="C59" s="11" t="inlineStr">
        <is>
          <t>Conexoes hidraulicas</t>
        </is>
      </c>
      <c r="D59" s="10" t="inlineStr">
        <is>
          <t>un</t>
        </is>
      </c>
      <c r="E59" s="14" t="n">
        <v>209</v>
      </c>
      <c r="F59" s="11" t="inlineStr">
        <is>
          <t>tubo, conexao ou condutor conforme descricao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MEP-ESGO50</t>
        </is>
      </c>
      <c r="B60" s="10" t="inlineStr">
        <is>
          <t>instalacao</t>
        </is>
      </c>
      <c r="C60" s="11" t="inlineStr">
        <is>
          <t>Tubo esgoto DN50</t>
        </is>
      </c>
      <c r="D60" s="10" t="inlineStr">
        <is>
          <t>m</t>
        </is>
      </c>
      <c r="E60" s="14" t="n">
        <v>81</v>
      </c>
      <c r="F60" s="11" t="inlineStr">
        <is>
          <t>tubo, conexao ou condutor conforme descricao; DN50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FIX-13</t>
        </is>
      </c>
      <c r="B61" s="10" t="inlineStr">
        <is>
          <t>instalacao</t>
        </is>
      </c>
      <c r="C61" s="11" t="inlineStr">
        <is>
          <t>Clip de eletroduto no montante (a cada 1.200 mm)</t>
        </is>
      </c>
      <c r="D61" s="10" t="inlineStr">
        <is>
          <t>un</t>
        </is>
      </c>
      <c r="E61" s="14" t="n">
        <v>1923</v>
      </c>
      <c r="F61" s="11" t="inlineStr"/>
      <c r="G61" s="11" t="inlineStr"/>
      <c r="H61" s="11" t="inlineStr">
        <is>
          <t>o modelo nao sabe descrever este item para um fornecedor</t>
        </is>
      </c>
      <c r="I61" s="18" t="inlineStr">
        <is>
          <t>com lacuna</t>
        </is>
      </c>
    </row>
    <row r="62">
      <c r="A62" s="9" t="inlineStr">
        <is>
          <t>MEP-ISOL</t>
        </is>
      </c>
      <c r="B62" s="10" t="inlineStr">
        <is>
          <t>instalacao</t>
        </is>
      </c>
      <c r="C62" s="11" t="inlineStr">
        <is>
          <t>Isolamento de linha</t>
        </is>
      </c>
      <c r="D62" s="10" t="inlineStr">
        <is>
          <t>m</t>
        </is>
      </c>
      <c r="E62" s="14" t="n">
        <v>112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MEP-DISJ</t>
        </is>
      </c>
      <c r="B63" s="10" t="inlineStr">
        <is>
          <t>instalacao</t>
        </is>
      </c>
      <c r="C63" s="11" t="inlineStr">
        <is>
          <t>Disjuntor</t>
        </is>
      </c>
      <c r="D63" s="10" t="inlineStr">
        <is>
          <t>un</t>
        </is>
      </c>
      <c r="E63" s="14" t="n">
        <v>37</v>
      </c>
      <c r="F63" s="11" t="inlineStr">
        <is>
          <t>tubo, conexao ou condutor conforme descricao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FIX-10</t>
        </is>
      </c>
      <c r="B64" s="10" t="inlineStr">
        <is>
          <t>instalacao</t>
        </is>
      </c>
      <c r="C64" s="11" t="inlineStr">
        <is>
          <t>Caixa de passagem</t>
        </is>
      </c>
      <c r="D64" s="10" t="inlineStr">
        <is>
          <t>un</t>
        </is>
      </c>
      <c r="E64" s="14" t="n">
        <v>147</v>
      </c>
      <c r="F64" s="11" t="inlineStr"/>
      <c r="G64" s="11" t="inlineStr"/>
      <c r="H64" s="11" t="inlineStr">
        <is>
          <t>o modelo nao sabe descrever este item para um fornecedor</t>
        </is>
      </c>
      <c r="I64" s="18" t="inlineStr">
        <is>
          <t>com lacuna</t>
        </is>
      </c>
    </row>
    <row r="65">
      <c r="A65" s="9" t="inlineStr">
        <is>
          <t>MEP-ESGO75</t>
        </is>
      </c>
      <c r="B65" s="10" t="inlineStr">
        <is>
          <t>instalacao</t>
        </is>
      </c>
      <c r="C65" s="11" t="inlineStr">
        <is>
          <t>Tubo esgoto DN75</t>
        </is>
      </c>
      <c r="D65" s="10" t="inlineStr">
        <is>
          <t>m</t>
        </is>
      </c>
      <c r="E65" s="14" t="n">
        <v>50.2</v>
      </c>
      <c r="F65" s="11" t="inlineStr">
        <is>
          <t>tubo, conexao ou condutor conforme descricao; DN75</t>
        </is>
      </c>
      <c r="G65" s="11" t="inlineStr">
        <is>
          <t>NBR 5410, NBR 5626, NBR 8160</t>
        </is>
      </c>
      <c r="H65" s="11" t="inlineStr"/>
      <c r="I65" s="18" t="inlineStr">
        <is>
          <t>sim</t>
        </is>
      </c>
    </row>
    <row r="66">
      <c r="A66" s="9" t="inlineStr">
        <is>
          <t>MEP-PEX20</t>
        </is>
      </c>
      <c r="B66" s="10" t="inlineStr">
        <is>
          <t>instalacao</t>
        </is>
      </c>
      <c r="C66" s="11" t="inlineStr">
        <is>
          <t>Tubo PEX DN20 agua fria, pela parede a 400 mm</t>
        </is>
      </c>
      <c r="D66" s="10" t="inlineStr">
        <is>
          <t>m</t>
        </is>
      </c>
      <c r="E66" s="14" t="n">
        <v>124.2</v>
      </c>
      <c r="F66" s="11" t="inlineStr">
        <is>
          <t>tubo, conexao ou condutor conforme descricao; DN20</t>
        </is>
      </c>
      <c r="G66" s="11" t="inlineStr">
        <is>
          <t>NBR 5410, NBR 5626, NBR 8160</t>
        </is>
      </c>
      <c r="H66" s="11" t="inlineStr"/>
      <c r="I66" s="18" t="inlineStr">
        <is>
          <t>sim</t>
        </is>
      </c>
    </row>
    <row r="67">
      <c r="A67" s="9" t="inlineStr">
        <is>
          <t>MEP-ESGO40</t>
        </is>
      </c>
      <c r="B67" s="10" t="inlineStr">
        <is>
          <t>instalacao</t>
        </is>
      </c>
      <c r="C67" s="11" t="inlineStr">
        <is>
          <t>Tubo esgoto DN40</t>
        </is>
      </c>
      <c r="D67" s="10" t="inlineStr">
        <is>
          <t>m</t>
        </is>
      </c>
      <c r="E67" s="14" t="n">
        <v>46.7</v>
      </c>
      <c r="F67" s="11" t="inlineStr">
        <is>
          <t>tubo, conexao ou condutor conforme descricao; DN40</t>
        </is>
      </c>
      <c r="G67" s="11" t="inlineStr">
        <is>
          <t>NBR 5410, NBR 5626, NBR 8160</t>
        </is>
      </c>
      <c r="H67" s="11" t="inlineStr"/>
      <c r="I67" s="18" t="inlineStr">
        <is>
          <t>sim</t>
        </is>
      </c>
    </row>
    <row r="68">
      <c r="A68" s="9" t="inlineStr">
        <is>
          <t>MEP-ESGO100</t>
        </is>
      </c>
      <c r="B68" s="10" t="inlineStr">
        <is>
          <t>instalacao</t>
        </is>
      </c>
      <c r="C68" s="11" t="inlineStr">
        <is>
          <t>Tubo esgoto DN100</t>
        </is>
      </c>
      <c r="D68" s="10" t="inlineStr">
        <is>
          <t>m</t>
        </is>
      </c>
      <c r="E68" s="14" t="n">
        <v>36</v>
      </c>
      <c r="F68" s="11" t="inlineStr">
        <is>
          <t>tubo, conexao ou condutor conforme descricao; DN100</t>
        </is>
      </c>
      <c r="G68" s="11" t="inlineStr">
        <is>
          <t>NBR 5410, NBR 5626, NBR 8160</t>
        </is>
      </c>
      <c r="H68" s="11" t="inlineStr"/>
      <c r="I68" s="18" t="inlineStr">
        <is>
          <t>sim</t>
        </is>
      </c>
    </row>
    <row r="69">
      <c r="A69" s="9" t="inlineStr">
        <is>
          <t>MEP-AGUA20</t>
        </is>
      </c>
      <c r="B69" s="10" t="inlineStr">
        <is>
          <t>instalacao</t>
        </is>
      </c>
      <c r="C69" s="11" t="inlineStr">
        <is>
          <t>Tubo agua quente DN20</t>
        </is>
      </c>
      <c r="D69" s="10" t="inlineStr">
        <is>
          <t>m</t>
        </is>
      </c>
      <c r="E69" s="14" t="n">
        <v>42</v>
      </c>
      <c r="F69" s="11" t="inlineStr">
        <is>
          <t>tubo, conexao ou condutor conforme descricao; DN20</t>
        </is>
      </c>
      <c r="G69" s="11" t="inlineStr">
        <is>
          <t>NBR 5410, NBR 5626, NBR 8160</t>
        </is>
      </c>
      <c r="H69" s="11" t="inlineStr"/>
      <c r="I69" s="18" t="inlineStr">
        <is>
          <t>sim</t>
        </is>
      </c>
    </row>
    <row r="70">
      <c r="A70" s="9" t="inlineStr">
        <is>
          <t>FIX-09</t>
        </is>
      </c>
      <c r="B70" s="10" t="inlineStr">
        <is>
          <t>instalacao</t>
        </is>
      </c>
      <c r="C70" s="11" t="inlineStr">
        <is>
          <t>Caixa 4x4 octogonal</t>
        </is>
      </c>
      <c r="D70" s="10" t="inlineStr">
        <is>
          <t>un</t>
        </is>
      </c>
      <c r="E70" s="14" t="n">
        <v>111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FIX-05</t>
        </is>
      </c>
      <c r="B71" s="10" t="inlineStr">
        <is>
          <t>instalacao</t>
        </is>
      </c>
      <c r="C71" s="11" t="inlineStr">
        <is>
          <t>Barra de fixacao entre montantes + joelho de transicao (peca)</t>
        </is>
      </c>
      <c r="D71" s="10" t="inlineStr">
        <is>
          <t>un</t>
        </is>
      </c>
      <c r="E71" s="14" t="n">
        <v>21</v>
      </c>
      <c r="F71" s="11" t="inlineStr"/>
      <c r="G71" s="11" t="inlineStr"/>
      <c r="H71" s="11" t="inlineStr">
        <is>
          <t>o modelo nao sabe descrever este item para um fornecedor</t>
        </is>
      </c>
      <c r="I71" s="18" t="inlineStr">
        <is>
          <t>com lacuna</t>
        </is>
      </c>
    </row>
    <row r="72">
      <c r="A72" s="9" t="inlineStr">
        <is>
          <t>FIX-07</t>
        </is>
      </c>
      <c r="B72" s="10" t="inlineStr">
        <is>
          <t>instalacao</t>
        </is>
      </c>
      <c r="C72" s="11" t="inlineStr">
        <is>
          <t>Caixa 4x2</t>
        </is>
      </c>
      <c r="D72" s="10" t="inlineStr">
        <is>
          <t>un</t>
        </is>
      </c>
      <c r="E72" s="14" t="n">
        <v>118</v>
      </c>
      <c r="F72" s="11" t="inlineStr"/>
      <c r="G72" s="11" t="inlineStr"/>
      <c r="H72" s="11" t="inlineStr">
        <is>
          <t>o modelo nao sabe descrever este item para um fornecedor</t>
        </is>
      </c>
      <c r="I72" s="18" t="inlineStr">
        <is>
          <t>com lacuna</t>
        </is>
      </c>
    </row>
    <row r="73">
      <c r="A73" s="9" t="inlineStr">
        <is>
          <t>FIX-15</t>
        </is>
      </c>
      <c r="B73" s="10" t="inlineStr">
        <is>
          <t>instalacao</t>
        </is>
      </c>
      <c r="C73" s="11" t="inlineStr">
        <is>
          <t>Luva de protecao no furo de 32 mm (montante atravessado)</t>
        </is>
      </c>
      <c r="D73" s="10" t="inlineStr">
        <is>
          <t>un</t>
        </is>
      </c>
      <c r="E73" s="14" t="n">
        <v>304</v>
      </c>
      <c r="F73" s="11" t="inlineStr"/>
      <c r="G73" s="11" t="inlineStr"/>
      <c r="H73" s="11" t="inlineStr">
        <is>
          <t>o modelo nao sabe descrever este item para um fornecedor</t>
        </is>
      </c>
      <c r="I73" s="18" t="inlineStr">
        <is>
          <t>com lacuna</t>
        </is>
      </c>
    </row>
    <row r="74">
      <c r="A74" s="9" t="inlineStr">
        <is>
          <t>FIX-01</t>
        </is>
      </c>
      <c r="B74" s="10" t="inlineStr">
        <is>
          <t>instalacao</t>
        </is>
      </c>
      <c r="C74" s="11" t="inlineStr">
        <is>
          <t>Abracadeira de eletroduto no forro/entrepiso (a cada 1.000 mm)</t>
        </is>
      </c>
      <c r="D74" s="10" t="inlineStr">
        <is>
          <t>un</t>
        </is>
      </c>
      <c r="E74" s="14" t="n">
        <v>162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MEP-DRENO</t>
        </is>
      </c>
      <c r="B75" s="10" t="inlineStr">
        <is>
          <t>instalacao</t>
        </is>
      </c>
      <c r="C75" s="11" t="inlineStr">
        <is>
          <t>Dreno de condensado</t>
        </is>
      </c>
      <c r="D75" s="10" t="inlineStr">
        <is>
          <t>m</t>
        </is>
      </c>
      <c r="E75" s="14" t="n">
        <v>44.8</v>
      </c>
      <c r="F75" s="11" t="inlineStr">
        <is>
          <t>tubo, conexao ou condutor conforme descricao</t>
        </is>
      </c>
      <c r="G75" s="11" t="inlineStr">
        <is>
          <t>NBR 5410, NBR 5626, NBR 8160</t>
        </is>
      </c>
      <c r="H75" s="11" t="inlineStr"/>
      <c r="I75" s="18" t="inlineStr">
        <is>
          <t>sim</t>
        </is>
      </c>
    </row>
    <row r="76">
      <c r="A76" s="9" t="inlineStr">
        <is>
          <t>FIX-08</t>
        </is>
      </c>
      <c r="B76" s="10" t="inlineStr">
        <is>
          <t>instalacao</t>
        </is>
      </c>
      <c r="C76" s="11" t="inlineStr">
        <is>
          <t>Caixa 4x4</t>
        </is>
      </c>
      <c r="D76" s="10" t="inlineStr">
        <is>
          <t>un</t>
        </is>
      </c>
      <c r="E76" s="14" t="n">
        <v>39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FIX-02</t>
        </is>
      </c>
      <c r="B77" s="10" t="inlineStr">
        <is>
          <t>instalacao</t>
        </is>
      </c>
      <c r="C77" s="11" t="inlineStr">
        <is>
          <t>Abracadeira de linha frigorigena (a cada 1,0 m)</t>
        </is>
      </c>
      <c r="D77" s="10" t="inlineStr">
        <is>
          <t>un</t>
        </is>
      </c>
      <c r="E77" s="14" t="n">
        <v>71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FIX-12</t>
        </is>
      </c>
      <c r="B78" s="10" t="inlineStr">
        <is>
          <t>instalacao</t>
        </is>
      </c>
      <c r="C78" s="11" t="inlineStr">
        <is>
          <t>Clip de PEX no montante (a cada 600 mm)</t>
        </is>
      </c>
      <c r="D78" s="10" t="inlineStr">
        <is>
          <t>un</t>
        </is>
      </c>
      <c r="E78" s="14" t="n">
        <v>273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FIX-14</t>
        </is>
      </c>
      <c r="B79" s="10" t="inlineStr">
        <is>
          <t>instalacao</t>
        </is>
      </c>
      <c r="C79" s="11" t="inlineStr">
        <is>
          <t>Eletroduto PEAD enterrado (m)</t>
        </is>
      </c>
      <c r="D79" s="10" t="inlineStr">
        <is>
          <t>m</t>
        </is>
      </c>
      <c r="E79" s="14" t="n">
        <v>15.3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FIX-03</t>
        </is>
      </c>
      <c r="B80" s="10" t="inlineStr">
        <is>
          <t>instalacao</t>
        </is>
      </c>
      <c r="C80" s="11" t="inlineStr">
        <is>
          <t>Abracadeira isofonica de esgoto no entrepiso (a cada 1,0 m)</t>
        </is>
      </c>
      <c r="D80" s="10" t="inlineStr">
        <is>
          <t>un</t>
        </is>
      </c>
      <c r="E80" s="14" t="n">
        <v>25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FIX-11</t>
        </is>
      </c>
      <c r="B81" s="10" t="inlineStr">
        <is>
          <t>instalacao</t>
        </is>
      </c>
      <c r="C81" s="11" t="inlineStr">
        <is>
          <t>Clip de PEX na subida (a cada 600 mm)</t>
        </is>
      </c>
      <c r="D81" s="10" t="inlineStr">
        <is>
          <t>un</t>
        </is>
      </c>
      <c r="E81" s="14" t="n">
        <v>30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FIX-04</t>
        </is>
      </c>
      <c r="B82" s="10" t="inlineStr">
        <is>
          <t>instalacao</t>
        </is>
      </c>
      <c r="C82" s="11" t="inlineStr">
        <is>
          <t>Arame de amarracao do esgoto a tela do radier (a cada 1,5 m)</t>
        </is>
      </c>
      <c r="D82" s="10" t="inlineStr">
        <is>
          <t>un</t>
        </is>
      </c>
      <c r="E82" s="14" t="n">
        <v>57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PAR-EST</t>
        </is>
      </c>
      <c r="B83" s="10" t="inlineStr">
        <is>
          <t>ligacao</t>
        </is>
      </c>
      <c r="C83" s="11" t="inlineStr">
        <is>
          <t>Parafuso estrutural auto-brocante</t>
        </is>
      </c>
      <c r="D83" s="10" t="inlineStr">
        <is>
          <t>un</t>
        </is>
      </c>
      <c r="E83" s="14" t="n">
        <v>6524</v>
      </c>
      <c r="F83" s="11" t="inlineStr">
        <is>
          <t>tipos em uso: AB 4,8x19 ponta broca, AB 5,5x25 ponta broca</t>
        </is>
      </c>
      <c r="G83" s="11" t="inlineStr">
        <is>
          <t>NBR 14762 item 8.4</t>
        </is>
      </c>
      <c r="H83" s="11" t="inlineStr"/>
      <c r="I83" s="18" t="inlineStr">
        <is>
          <t>sim</t>
        </is>
      </c>
    </row>
    <row r="84">
      <c r="A84" s="9" t="inlineStr">
        <is>
          <t>FAC-FASCIA</t>
        </is>
      </c>
      <c r="B84" s="10" t="inlineStr">
        <is>
          <t>fachada</t>
        </is>
      </c>
      <c r="C84" s="11" t="inlineStr">
        <is>
          <t>Fascia de platibanda 450 mm, aluminio grafite dobrado, rufo integrado</t>
        </is>
      </c>
      <c r="D84" s="10" t="inlineStr">
        <is>
          <t>m</t>
        </is>
      </c>
      <c r="E84" s="14" t="n">
        <v>126</v>
      </c>
      <c r="F8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4" s="11" t="inlineStr">
        <is>
          <t>NBR 13245, NBR 15498</t>
        </is>
      </c>
      <c r="H84" s="11" t="inlineStr"/>
      <c r="I84" s="18" t="inlineStr">
        <is>
          <t>sim</t>
        </is>
      </c>
    </row>
    <row r="85">
      <c r="A85" s="9" t="inlineStr">
        <is>
          <t>FAC-MINERAL</t>
        </is>
      </c>
      <c r="B85" s="10" t="inlineStr">
        <is>
          <t>fachada</t>
        </is>
      </c>
      <c r="C85" s="11" t="inlineStr">
        <is>
          <t>Acrescimo: placa cimenticia com revestimento mineral de fabrica, junta seca 6 mm</t>
        </is>
      </c>
      <c r="D85" s="10" t="inlineStr">
        <is>
          <t>m2</t>
        </is>
      </c>
      <c r="E85" s="14" t="n">
        <v>217.3</v>
      </c>
      <c r="F85" s="11" t="inlineStr">
        <is>
          <t>placa cimenticia 1.200 x 2.400 com revestimento mineral aplicado em fabrica, cor clara, junta seca de 6 mm com perfil EPDM — face externa do volume superior e da platibanda</t>
        </is>
      </c>
      <c r="G85" s="11" t="inlineStr">
        <is>
          <t>NBR 13245, NBR 15498</t>
        </is>
      </c>
      <c r="H85" s="11" t="inlineStr">
        <is>
          <t>fabricante e linha do revestimento mineral: acabamento de fachada e decisao do proprietario</t>
        </is>
      </c>
      <c r="I85" s="18" t="inlineStr">
        <is>
          <t>sim</t>
        </is>
      </c>
    </row>
    <row r="86">
      <c r="A86" s="9" t="inlineStr">
        <is>
          <t>BRI-RIPA</t>
        </is>
      </c>
      <c r="B86" s="10" t="inlineStr">
        <is>
          <t>fachada</t>
        </is>
      </c>
      <c r="C86" s="11" t="inlineStr">
        <is>
          <t>Ripa de fachada: tubular de aluminio 50 x 20 x 1,2 mm</t>
        </is>
      </c>
      <c r="D86" s="10" t="inlineStr">
        <is>
          <t>m</t>
        </is>
      </c>
      <c r="E86" s="14" t="n">
        <v>375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FAC-BASE</t>
        </is>
      </c>
      <c r="B87" s="10" t="inlineStr">
        <is>
          <t>fachada</t>
        </is>
      </c>
      <c r="C87" s="11" t="inlineStr">
        <is>
          <t>Basecoat de regularizacao sobre placa cimenticia</t>
        </is>
      </c>
      <c r="D87" s="10" t="inlineStr">
        <is>
          <t>m2</t>
        </is>
      </c>
      <c r="E87" s="14" t="n">
        <v>183.4</v>
      </c>
      <c r="F87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7" s="11" t="inlineStr">
        <is>
          <t>NBR 13245, NBR 15498</t>
        </is>
      </c>
      <c r="H87" s="11" t="inlineStr"/>
      <c r="I87" s="18" t="inlineStr">
        <is>
          <t>sim</t>
        </is>
      </c>
    </row>
    <row r="88">
      <c r="A88" s="9" t="inlineStr">
        <is>
          <t>FAC-MAO</t>
        </is>
      </c>
      <c r="B88" s="10" t="inlineStr">
        <is>
          <t>fachada</t>
        </is>
      </c>
      <c r="C88" s="11" t="inlineStr">
        <is>
          <t>Mao de obra de fachada (basecoat, tela, junta e pintura)</t>
        </is>
      </c>
      <c r="D88" s="10" t="inlineStr">
        <is>
          <t>m2</t>
        </is>
      </c>
      <c r="E88" s="14" t="n">
        <v>183.4</v>
      </c>
      <c r="F8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8" s="11" t="inlineStr">
        <is>
          <t>NBR 13245, NBR 15498</t>
        </is>
      </c>
      <c r="H88" s="11" t="inlineStr"/>
      <c r="I88" s="18" t="inlineStr">
        <is>
          <t>sim</t>
        </is>
      </c>
    </row>
    <row r="89">
      <c r="A89" s="9" t="inlineStr">
        <is>
          <t>FAC-JUNTA-SECA</t>
        </is>
      </c>
      <c r="B89" s="10" t="inlineStr">
        <is>
          <t>fachada</t>
        </is>
      </c>
      <c r="C89" s="11" t="inlineStr">
        <is>
          <t>Junta seca: perfil EPDM e fundo de junta</t>
        </is>
      </c>
      <c r="D89" s="10" t="inlineStr">
        <is>
          <t>m</t>
        </is>
      </c>
      <c r="E89" s="14" t="n">
        <v>271.7</v>
      </c>
      <c r="F8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89" s="11" t="inlineStr">
        <is>
          <t>NBR 13245, NBR 15498</t>
        </is>
      </c>
      <c r="H89" s="11" t="inlineStr"/>
      <c r="I89" s="18" t="inlineStr">
        <is>
          <t>sim</t>
        </is>
      </c>
    </row>
    <row r="90">
      <c r="A90" s="9" t="inlineStr">
        <is>
          <t>BRI-MEC</t>
        </is>
      </c>
      <c r="B90" s="10" t="inlineStr">
        <is>
          <t>fachada</t>
        </is>
      </c>
      <c r="C90" s="11" t="inlineStr">
        <is>
          <t>Mecanismo de brise movel: guia, roldana e trava</t>
        </is>
      </c>
      <c r="D90" s="10" t="inlineStr">
        <is>
          <t>cj</t>
        </is>
      </c>
      <c r="E90" s="14" t="n">
        <v>2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FAC-TINTA</t>
        </is>
      </c>
      <c r="B91" s="10" t="inlineStr">
        <is>
          <t>fachada</t>
        </is>
      </c>
      <c r="C91" s="11" t="inlineStr">
        <is>
          <t>Tinta acrilica elastomerica lisa com biocida, 2 demaos</t>
        </is>
      </c>
      <c r="D91" s="10" t="inlineStr">
        <is>
          <t>L</t>
        </is>
      </c>
      <c r="E91" s="14" t="n">
        <v>52.4</v>
      </c>
      <c r="F9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91" s="11" t="inlineStr">
        <is>
          <t>NBR 13245, NBR 15498</t>
        </is>
      </c>
      <c r="H91" s="11" t="inlineStr"/>
      <c r="I91" s="18" t="inlineStr">
        <is>
          <t>sim</t>
        </is>
      </c>
    </row>
    <row r="92">
      <c r="A92" s="9" t="inlineStr">
        <is>
          <t>FAC-JUNTA</t>
        </is>
      </c>
      <c r="B92" s="10" t="inlineStr">
        <is>
          <t>fachada</t>
        </is>
      </c>
      <c r="C92" s="11" t="inlineStr">
        <is>
          <t>Tratamento de junta externa: fundo de junta e selante PU</t>
        </is>
      </c>
      <c r="D92" s="10" t="inlineStr">
        <is>
          <t>m</t>
        </is>
      </c>
      <c r="E92" s="14" t="n">
        <v>229.3</v>
      </c>
      <c r="F9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92" s="11" t="inlineStr">
        <is>
          <t>NBR 13245, NBR 15498</t>
        </is>
      </c>
      <c r="H92" s="11" t="inlineStr"/>
      <c r="I92" s="18" t="inlineStr">
        <is>
          <t>sim</t>
        </is>
      </c>
    </row>
    <row r="93">
      <c r="A93" s="9" t="inlineStr">
        <is>
          <t>BRI-TRAV</t>
        </is>
      </c>
      <c r="B93" s="10" t="inlineStr">
        <is>
          <t>fachada</t>
        </is>
      </c>
      <c r="C93" s="11" t="inlineStr">
        <is>
          <t>Travessa de brise: U 50x25x1,2 aluminio</t>
        </is>
      </c>
      <c r="D93" s="10" t="inlineStr">
        <is>
          <t>m</t>
        </is>
      </c>
      <c r="E93" s="14" t="n">
        <v>51.6</v>
      </c>
      <c r="F93" s="11" t="inlineStr"/>
      <c r="G93" s="11" t="inlineStr"/>
      <c r="H93" s="11" t="inlineStr">
        <is>
          <t>o modelo nao sabe descrever este item para um fornecedor</t>
        </is>
      </c>
      <c r="I93" s="18" t="inlineStr">
        <is>
          <t>com lacuna</t>
        </is>
      </c>
    </row>
    <row r="94">
      <c r="A94" s="9" t="inlineStr">
        <is>
          <t>FAC-TELA</t>
        </is>
      </c>
      <c r="B94" s="10" t="inlineStr">
        <is>
          <t>fachada</t>
        </is>
      </c>
      <c r="C94" s="11" t="inlineStr">
        <is>
          <t>Tela de fibra de vidro alcali-resistente, embutida no basecoat</t>
        </is>
      </c>
      <c r="D94" s="10" t="inlineStr">
        <is>
          <t>m2</t>
        </is>
      </c>
      <c r="E94" s="14" t="n">
        <v>201.8</v>
      </c>
      <c r="F9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94" s="11" t="inlineStr">
        <is>
          <t>NBR 13245, NBR 15498</t>
        </is>
      </c>
      <c r="H94" s="11" t="inlineStr"/>
      <c r="I94" s="18" t="inlineStr">
        <is>
          <t>sim</t>
        </is>
      </c>
    </row>
    <row r="95">
      <c r="A95" s="9" t="inlineStr">
        <is>
          <t>BRI-FIX</t>
        </is>
      </c>
      <c r="B95" s="10" t="inlineStr">
        <is>
          <t>fachada</t>
        </is>
      </c>
      <c r="C95" s="11" t="inlineStr">
        <is>
          <t>Fixacao de travessa no montante</t>
        </is>
      </c>
      <c r="D95" s="10" t="inlineStr">
        <is>
          <t>un</t>
        </is>
      </c>
      <c r="E95" s="14" t="n">
        <v>96</v>
      </c>
      <c r="F95" s="11" t="inlineStr"/>
      <c r="G95" s="11" t="inlineStr"/>
      <c r="H95" s="11" t="inlineStr">
        <is>
          <t>o modelo nao sabe descrever este item para um fornecedor</t>
        </is>
      </c>
      <c r="I95" s="18" t="inlineStr">
        <is>
          <t>com lacuna</t>
        </is>
      </c>
    </row>
    <row r="96">
      <c r="A96" s="9" t="inlineStr">
        <is>
          <t>EXT-BLOCO</t>
        </is>
      </c>
      <c r="B96" s="10" t="inlineStr">
        <is>
          <t>externo</t>
        </is>
      </c>
      <c r="C96" s="11" t="inlineStr">
        <is>
          <t>Muro: bloco de concreto estrutural 14 x 19 x 39 ap</t>
        </is>
      </c>
      <c r="D96" s="10" t="inlineStr">
        <is>
          <t>un</t>
        </is>
      </c>
      <c r="E96" s="14" t="n">
        <v>2750</v>
      </c>
      <c r="F96" s="11" t="inlineStr"/>
      <c r="G96" s="11" t="inlineStr"/>
      <c r="H96" s="11" t="inlineStr">
        <is>
          <t>o modelo nao sabe descrever este item para um fornecedor</t>
        </is>
      </c>
      <c r="I96" s="18" t="inlineStr">
        <is>
          <t>com lacuna</t>
        </is>
      </c>
    </row>
    <row r="97">
      <c r="A97" s="9" t="inlineStr">
        <is>
          <t>EXT-PISO2</t>
        </is>
      </c>
      <c r="B97" s="10" t="inlineStr">
        <is>
          <t>externo</t>
        </is>
      </c>
      <c r="C97" s="11" t="inlineStr">
        <is>
          <t>lounge e circulacao do deck: WPC coextrudado claro</t>
        </is>
      </c>
      <c r="D97" s="10" t="inlineStr">
        <is>
          <t>m2</t>
        </is>
      </c>
      <c r="E97" s="14" t="n">
        <v>33.12</v>
      </c>
      <c r="F97" s="11" t="inlineStr"/>
      <c r="G97" s="11" t="inlineStr"/>
      <c r="H97" s="11" t="inlineStr">
        <is>
          <t>o modelo nao sabe descrever este item para um fornecedor</t>
        </is>
      </c>
      <c r="I97" s="18" t="inlineStr">
        <is>
          <t>com lacuna</t>
        </is>
      </c>
    </row>
    <row r="98">
      <c r="A98" s="9" t="inlineStr">
        <is>
          <t>EXT-PISC-EST</t>
        </is>
      </c>
      <c r="B98" s="10" t="inlineStr">
        <is>
          <t>externo</t>
        </is>
      </c>
      <c r="C98" s="11" t="inlineStr">
        <is>
          <t>Piscina: casca de concreto armado 150 mm</t>
        </is>
      </c>
      <c r="D98" s="10" t="inlineStr">
        <is>
          <t>m3</t>
        </is>
      </c>
      <c r="E98" s="14" t="n">
        <v>4.57</v>
      </c>
      <c r="F98" s="11" t="inlineStr"/>
      <c r="G98" s="11" t="inlineStr"/>
      <c r="H98" s="11" t="inlineStr">
        <is>
          <t>o modelo nao sabe descrever este item para um fornecedor</t>
        </is>
      </c>
      <c r="I98" s="18" t="inlineStr">
        <is>
          <t>com lacuna</t>
        </is>
      </c>
    </row>
    <row r="99">
      <c r="A99" s="9" t="inlineStr">
        <is>
          <t>EXT-PISO4</t>
        </is>
      </c>
      <c r="B99" s="10" t="inlineStr">
        <is>
          <t>externo</t>
        </is>
      </c>
      <c r="C99" s="11" t="inlineStr">
        <is>
          <t>patio e deck descoberto: porcelanato externo claro R11</t>
        </is>
      </c>
      <c r="D99" s="10" t="inlineStr">
        <is>
          <t>m2</t>
        </is>
      </c>
      <c r="E99" s="14" t="n">
        <v>43.2</v>
      </c>
      <c r="F99" s="11" t="inlineStr"/>
      <c r="G99" s="11" t="inlineStr"/>
      <c r="H99" s="11" t="inlineStr">
        <is>
          <t>o modelo nao sabe descrever este item para um fornecedor</t>
        </is>
      </c>
      <c r="I99" s="18" t="inlineStr">
        <is>
          <t>com lacuna</t>
        </is>
      </c>
    </row>
    <row r="100">
      <c r="A100" s="9" t="inlineStr">
        <is>
          <t>EXT-PISC-REV</t>
        </is>
      </c>
      <c r="B100" s="10" t="inlineStr">
        <is>
          <t>externo</t>
        </is>
      </c>
      <c r="C100" s="11" t="inlineStr">
        <is>
          <t>Piscina: revestimento de fundo e paredes</t>
        </is>
      </c>
      <c r="D100" s="10" t="inlineStr">
        <is>
          <t>m2</t>
        </is>
      </c>
      <c r="E100" s="14" t="n">
        <v>30.43</v>
      </c>
      <c r="F100" s="11" t="inlineStr"/>
      <c r="G100" s="11" t="inlineStr"/>
      <c r="H100" s="11" t="inlineStr">
        <is>
          <t>o modelo nao sabe descrever este item para um fornecedor</t>
        </is>
      </c>
      <c r="I100" s="18" t="inlineStr">
        <is>
          <t>com lacuna</t>
        </is>
      </c>
    </row>
    <row r="101">
      <c r="A101" s="9" t="inlineStr">
        <is>
          <t>EXT-VASO</t>
        </is>
      </c>
      <c r="B101" s="10" t="inlineStr">
        <is>
          <t>externo</t>
        </is>
      </c>
      <c r="C101" s="11" t="inlineStr">
        <is>
          <t>Vaso e planta em vaso</t>
        </is>
      </c>
      <c r="D101" s="10" t="inlineStr">
        <is>
          <t>un</t>
        </is>
      </c>
      <c r="E101" s="14" t="n">
        <v>24</v>
      </c>
      <c r="F101" s="11" t="inlineStr"/>
      <c r="G101" s="11" t="inlineStr"/>
      <c r="H101" s="11" t="inlineStr">
        <is>
          <t>o modelo nao sabe descrever este item para um fornecedor</t>
        </is>
      </c>
      <c r="I101" s="18" t="inlineStr">
        <is>
          <t>com lacuna</t>
        </is>
      </c>
    </row>
    <row r="102">
      <c r="A102" s="9" t="inlineStr">
        <is>
          <t>EXT-PG03</t>
        </is>
      </c>
      <c r="B102" s="10" t="inlineStr">
        <is>
          <t>externo</t>
        </is>
      </c>
      <c r="C102" s="11" t="inlineStr">
        <is>
          <t>Portao lateral PG03 (dir): ripa de aluminio grafite, 4860 x 2200 mm, pivotante, duas folhas</t>
        </is>
      </c>
      <c r="D102" s="10" t="inlineStr">
        <is>
          <t>m</t>
        </is>
      </c>
      <c r="E102" s="14" t="n">
        <v>134.2</v>
      </c>
      <c r="F102" s="11" t="inlineStr"/>
      <c r="G102" s="11" t="inlineStr"/>
      <c r="H102" s="11" t="inlineStr">
        <is>
          <t>o modelo nao sabe descrever este item para um fornecedor</t>
        </is>
      </c>
      <c r="I102" s="18" t="inlineStr">
        <is>
          <t>com lacuna</t>
        </is>
      </c>
    </row>
    <row r="103">
      <c r="A103" s="9" t="inlineStr">
        <is>
          <t>EXT-GRAMA</t>
        </is>
      </c>
      <c r="B103" s="10" t="inlineStr">
        <is>
          <t>externo</t>
        </is>
      </c>
      <c r="C103" s="11" t="inlineStr">
        <is>
          <t>Grama e canteiro</t>
        </is>
      </c>
      <c r="D103" s="10" t="inlineStr">
        <is>
          <t>m2</t>
        </is>
      </c>
      <c r="E103" s="14" t="n">
        <v>137.16</v>
      </c>
      <c r="F103" s="11" t="inlineStr"/>
      <c r="G103" s="11" t="inlineStr"/>
      <c r="H103" s="11" t="inlineStr">
        <is>
          <t>o modelo nao sabe descrever este item para um fornecedor</t>
        </is>
      </c>
      <c r="I103" s="18" t="inlineStr">
        <is>
          <t>com lacuna</t>
        </is>
      </c>
    </row>
    <row r="104">
      <c r="A104" s="9" t="inlineStr">
        <is>
          <t>EXT-HIDROF</t>
        </is>
      </c>
      <c r="B104" s="10" t="inlineStr">
        <is>
          <t>externo</t>
        </is>
      </c>
      <c r="C104" s="11" t="inlineStr">
        <is>
          <t>Hidrofugante incolor no muro aparente</t>
        </is>
      </c>
      <c r="D104" s="10" t="inlineStr">
        <is>
          <t>m2</t>
        </is>
      </c>
      <c r="E104" s="14" t="n">
        <v>220</v>
      </c>
      <c r="F104" s="11" t="inlineStr"/>
      <c r="G104" s="11" t="inlineStr"/>
      <c r="H104" s="11" t="inlineStr">
        <is>
          <t>o modelo nao sabe descrever este item para um fornecedor</t>
        </is>
      </c>
      <c r="I104" s="18" t="inlineStr">
        <is>
          <t>com lacuna</t>
        </is>
      </c>
    </row>
    <row r="105">
      <c r="A105" s="9" t="inlineStr">
        <is>
          <t>EXT-ARV</t>
        </is>
      </c>
      <c r="B105" s="10" t="inlineStr">
        <is>
          <t>externo</t>
        </is>
      </c>
      <c r="C105" s="11" t="inlineStr">
        <is>
          <t>Arvore de porte</t>
        </is>
      </c>
      <c r="D105" s="10" t="inlineStr">
        <is>
          <t>un</t>
        </is>
      </c>
      <c r="E105" s="14" t="n">
        <v>5</v>
      </c>
      <c r="F105" s="11" t="inlineStr"/>
      <c r="G105" s="11" t="inlineStr"/>
      <c r="H105" s="11" t="inlineStr">
        <is>
          <t>o modelo nao sabe descrever este item para um fornecedor</t>
        </is>
      </c>
      <c r="I105" s="18" t="inlineStr">
        <is>
          <t>com lacuna</t>
        </is>
      </c>
    </row>
    <row r="106">
      <c r="A106" s="9" t="inlineStr">
        <is>
          <t>EXT-PISO1</t>
        </is>
      </c>
      <c r="B106" s="10" t="inlineStr">
        <is>
          <t>externo</t>
        </is>
      </c>
      <c r="C106" s="11" t="inlineStr">
        <is>
          <t>faixa seca da piscina: porcelanato externo claro R11</t>
        </is>
      </c>
      <c r="D106" s="10" t="inlineStr">
        <is>
          <t>m2</t>
        </is>
      </c>
      <c r="E106" s="14" t="n">
        <v>24.3</v>
      </c>
      <c r="F106" s="11" t="inlineStr"/>
      <c r="G106" s="11" t="inlineStr"/>
      <c r="H106" s="11" t="inlineStr">
        <is>
          <t>o modelo nao sabe descrever este item para um fornecedor</t>
        </is>
      </c>
      <c r="I106" s="18" t="inlineStr">
        <is>
          <t>com lacuna</t>
        </is>
      </c>
    </row>
    <row r="107">
      <c r="A107" s="9" t="inlineStr">
        <is>
          <t>EXT-BORDA</t>
        </is>
      </c>
      <c r="B107" s="10" t="inlineStr">
        <is>
          <t>externo</t>
        </is>
      </c>
      <c r="C107" s="11" t="inlineStr">
        <is>
          <t>Borda de piscina</t>
        </is>
      </c>
      <c r="D107" s="10" t="inlineStr">
        <is>
          <t>m</t>
        </is>
      </c>
      <c r="E107" s="14" t="n">
        <v>17.4</v>
      </c>
      <c r="F107" s="11" t="inlineStr"/>
      <c r="G107" s="11" t="inlineStr"/>
      <c r="H107" s="11" t="inlineStr">
        <is>
          <t>o modelo nao sabe descrever este item para um fornecedor</t>
        </is>
      </c>
      <c r="I107" s="18" t="inlineStr">
        <is>
          <t>com lacuna</t>
        </is>
      </c>
    </row>
    <row r="108">
      <c r="A108" s="9" t="inlineStr">
        <is>
          <t>EXT-PISO3</t>
        </is>
      </c>
      <c r="B108" s="10" t="inlineStr">
        <is>
          <t>externo</t>
        </is>
      </c>
      <c r="C108" s="11" t="inlineStr">
        <is>
          <t>passeio e acesso: piso drenante intertravado claro</t>
        </is>
      </c>
      <c r="D108" s="10" t="inlineStr">
        <is>
          <t>m2</t>
        </is>
      </c>
      <c r="E108" s="14" t="n">
        <v>30.96</v>
      </c>
      <c r="F108" s="11" t="inlineStr"/>
      <c r="G108" s="11" t="inlineStr"/>
      <c r="H108" s="11" t="inlineStr">
        <is>
          <t>o modelo nao sabe descrever este item para um fornecedor</t>
        </is>
      </c>
      <c r="I108" s="18" t="inlineStr">
        <is>
          <t>com lacuna</t>
        </is>
      </c>
    </row>
    <row r="109">
      <c r="A109" s="9" t="inlineStr">
        <is>
          <t>EXT-PISC-BOMBA</t>
        </is>
      </c>
      <c r="B109" s="10" t="inlineStr">
        <is>
          <t>externo</t>
        </is>
      </c>
      <c r="C109" s="11" t="inlineStr">
        <is>
          <t>Piscina: bomba velocidade variavel 0,5 cv com pre-filtro</t>
        </is>
      </c>
      <c r="D109" s="10" t="inlineStr">
        <is>
          <t>un</t>
        </is>
      </c>
      <c r="E109" s="14" t="n">
        <v>1</v>
      </c>
      <c r="F109" s="11" t="inlineStr"/>
      <c r="G109" s="11" t="inlineStr"/>
      <c r="H109" s="11" t="inlineStr">
        <is>
          <t>o modelo nao sabe descrever este item para um fornecedor</t>
        </is>
      </c>
      <c r="I109" s="18" t="inlineStr">
        <is>
          <t>com lacuna</t>
        </is>
      </c>
    </row>
    <row r="110">
      <c r="A110" s="9" t="inlineStr">
        <is>
          <t>EXT-PG02</t>
        </is>
      </c>
      <c r="B110" s="10" t="inlineStr">
        <is>
          <t>externo</t>
        </is>
      </c>
      <c r="C110" s="11" t="inlineStr">
        <is>
          <t>Portao lateral PG02 (esq): ripa de aluminio grafite, 2260 x 2200 mm, pivotante, uma folha</t>
        </is>
      </c>
      <c r="D110" s="10" t="inlineStr">
        <is>
          <t>m</t>
        </is>
      </c>
      <c r="E110" s="14" t="n">
        <v>63.8</v>
      </c>
      <c r="F110" s="11" t="inlineStr"/>
      <c r="G110" s="11" t="inlineStr"/>
      <c r="H110" s="11" t="inlineStr">
        <is>
          <t>o modelo nao sabe descrever este item para um fornecedor</t>
        </is>
      </c>
      <c r="I110" s="18" t="inlineStr">
        <is>
          <t>com lacuna</t>
        </is>
      </c>
    </row>
    <row r="111">
      <c r="A111" s="9" t="inlineStr">
        <is>
          <t>EXT-PISC-TUBO</t>
        </is>
      </c>
      <c r="B111" s="10" t="inlineStr">
        <is>
          <t>externo</t>
        </is>
      </c>
      <c r="C111" s="11" t="inlineStr">
        <is>
          <t>Piscina: tubo PVC soldavel DN50 com conexoes</t>
        </is>
      </c>
      <c r="D111" s="10" t="inlineStr">
        <is>
          <t>m</t>
        </is>
      </c>
      <c r="E111" s="14" t="n">
        <v>94.2</v>
      </c>
      <c r="F111" s="11" t="inlineStr"/>
      <c r="G111" s="11" t="inlineStr"/>
      <c r="H111" s="11" t="inlineStr">
        <is>
          <t>o modelo nao sabe descrever este item para um fornecedor</t>
        </is>
      </c>
      <c r="I111" s="18" t="inlineStr">
        <is>
          <t>com lacuna</t>
        </is>
      </c>
    </row>
    <row r="112">
      <c r="A112" s="9" t="inlineStr">
        <is>
          <t>EXT-PISO5</t>
        </is>
      </c>
      <c r="B112" s="10" t="inlineStr">
        <is>
          <t>externo</t>
        </is>
      </c>
      <c r="C112" s="11" t="inlineStr">
        <is>
          <t>varanda do pavimento superior: porcelanato externo claro R11</t>
        </is>
      </c>
      <c r="D112" s="10" t="inlineStr">
        <is>
          <t>m2</t>
        </is>
      </c>
      <c r="E112" s="14" t="n">
        <v>14.04</v>
      </c>
      <c r="F112" s="11" t="inlineStr"/>
      <c r="G112" s="11" t="inlineStr"/>
      <c r="H112" s="11" t="inlineStr">
        <is>
          <t>o modelo nao sabe descrever este item para um fornecedor</t>
        </is>
      </c>
      <c r="I112" s="18" t="inlineStr">
        <is>
          <t>com lacuna</t>
        </is>
      </c>
    </row>
    <row r="113">
      <c r="A113" s="9" t="inlineStr">
        <is>
          <t>EXT-PISC-FILTRO</t>
        </is>
      </c>
      <c r="B113" s="10" t="inlineStr">
        <is>
          <t>externo</t>
        </is>
      </c>
      <c r="C113" s="11" t="inlineStr">
        <is>
          <t>Piscina: filtro de areia DE 500 mm com valvula seletora</t>
        </is>
      </c>
      <c r="D113" s="10" t="inlineStr">
        <is>
          <t>un</t>
        </is>
      </c>
      <c r="E113" s="14" t="n">
        <v>1</v>
      </c>
      <c r="F113" s="11" t="inlineStr"/>
      <c r="G113" s="11" t="inlineStr"/>
      <c r="H113" s="11" t="inlineStr">
        <is>
          <t>o modelo nao sabe descrever este item para um fornecedor</t>
        </is>
      </c>
      <c r="I113" s="18" t="inlineStr">
        <is>
          <t>com lacuna</t>
        </is>
      </c>
    </row>
    <row r="114">
      <c r="A114" s="9" t="inlineStr">
        <is>
          <t>EXT-PISC-IMP</t>
        </is>
      </c>
      <c r="B114" s="10" t="inlineStr">
        <is>
          <t>externo</t>
        </is>
      </c>
      <c r="C114" s="11" t="inlineStr">
        <is>
          <t>Piscina: impermeabilizacao (cristalizante + polimerica)</t>
        </is>
      </c>
      <c r="D114" s="10" t="inlineStr">
        <is>
          <t>m2</t>
        </is>
      </c>
      <c r="E114" s="14" t="n">
        <v>30.43</v>
      </c>
      <c r="F114" s="11" t="inlineStr"/>
      <c r="G114" s="11" t="inlineStr"/>
      <c r="H114" s="11" t="inlineStr">
        <is>
          <t>o modelo nao sabe descrever este item para um fornecedor</t>
        </is>
      </c>
      <c r="I114" s="18" t="inlineStr">
        <is>
          <t>com lacuna</t>
        </is>
      </c>
    </row>
    <row r="115">
      <c r="A115" s="9" t="inlineStr">
        <is>
          <t>EXT-GRAUTE</t>
        </is>
      </c>
      <c r="B115" s="10" t="inlineStr">
        <is>
          <t>externo</t>
        </is>
      </c>
      <c r="C115" s="11" t="inlineStr">
        <is>
          <t>Graute de cinta e pilarete do muro</t>
        </is>
      </c>
      <c r="D115" s="10" t="inlineStr">
        <is>
          <t>m3</t>
        </is>
      </c>
      <c r="E115" s="14" t="n">
        <v>2.64</v>
      </c>
      <c r="F115" s="11" t="inlineStr"/>
      <c r="G115" s="11" t="inlineStr"/>
      <c r="H115" s="11" t="inlineStr">
        <is>
          <t>o modelo nao sabe descrever este item para um fornecedor</t>
        </is>
      </c>
      <c r="I115" s="18" t="inlineStr">
        <is>
          <t>com lacuna</t>
        </is>
      </c>
    </row>
    <row r="116">
      <c r="A116" s="9" t="inlineStr">
        <is>
          <t>EXT-PISC-LED</t>
        </is>
      </c>
      <c r="B116" s="10" t="inlineStr">
        <is>
          <t>externo</t>
        </is>
      </c>
      <c r="C116" s="11" t="inlineStr">
        <is>
          <t>Piscina: LED subaquatico 18 W 2700-3000 K</t>
        </is>
      </c>
      <c r="D116" s="10" t="inlineStr">
        <is>
          <t>un</t>
        </is>
      </c>
      <c r="E116" s="14" t="n">
        <v>3</v>
      </c>
      <c r="F116" s="11" t="inlineStr"/>
      <c r="G116" s="11" t="inlineStr"/>
      <c r="H116" s="11" t="inlineStr">
        <is>
          <t>o modelo nao sabe descrever este item para um fornecedor</t>
        </is>
      </c>
      <c r="I116" s="18" t="inlineStr">
        <is>
          <t>com lacuna</t>
        </is>
      </c>
    </row>
    <row r="117">
      <c r="A117" s="9" t="inlineStr">
        <is>
          <t>EXT-PG03-TRV</t>
        </is>
      </c>
      <c r="B117" s="10" t="inlineStr">
        <is>
          <t>externo</t>
        </is>
      </c>
      <c r="C117" s="11" t="inlineStr">
        <is>
          <t>Portao PG03: travessa e quadro</t>
        </is>
      </c>
      <c r="D117" s="10" t="inlineStr">
        <is>
          <t>m</t>
        </is>
      </c>
      <c r="E117" s="14" t="n">
        <v>28.2</v>
      </c>
      <c r="F117" s="11" t="inlineStr"/>
      <c r="G117" s="11" t="inlineStr"/>
      <c r="H117" s="11" t="inlineStr">
        <is>
          <t>o modelo nao sabe descrever este item para um fornecedor</t>
        </is>
      </c>
      <c r="I117" s="18" t="inlineStr">
        <is>
          <t>com lacuna</t>
        </is>
      </c>
    </row>
    <row r="118">
      <c r="A118" s="9" t="inlineStr">
        <is>
          <t>EXT-PISC-DRENO</t>
        </is>
      </c>
      <c r="B118" s="10" t="inlineStr">
        <is>
          <t>externo</t>
        </is>
      </c>
      <c r="C118" s="11" t="inlineStr">
        <is>
          <t>Piscina: dreno de fundo antiaprisionamento</t>
        </is>
      </c>
      <c r="D118" s="10" t="inlineStr">
        <is>
          <t>un</t>
        </is>
      </c>
      <c r="E118" s="14" t="n">
        <v>2</v>
      </c>
      <c r="F118" s="11" t="inlineStr"/>
      <c r="G118" s="11" t="inlineStr"/>
      <c r="H118" s="11" t="inlineStr">
        <is>
          <t>o modelo nao sabe descrever este item para um fornecedor</t>
        </is>
      </c>
      <c r="I118" s="18" t="inlineStr">
        <is>
          <t>com lacuna</t>
        </is>
      </c>
    </row>
    <row r="119">
      <c r="A119" s="9" t="inlineStr">
        <is>
          <t>EXT-PISC-AREIA</t>
        </is>
      </c>
      <c r="B119" s="10" t="inlineStr">
        <is>
          <t>externo</t>
        </is>
      </c>
      <c r="C119" s="11" t="inlineStr">
        <is>
          <t>Piscina: areia filtrante (leito de 600 mm)</t>
        </is>
      </c>
      <c r="D119" s="10" t="inlineStr">
        <is>
          <t>kg</t>
        </is>
      </c>
      <c r="E119" s="14" t="n">
        <v>188</v>
      </c>
      <c r="F119" s="11" t="inlineStr"/>
      <c r="G119" s="11" t="inlineStr"/>
      <c r="H119" s="11" t="inlineStr">
        <is>
          <t>o modelo nao sabe descrever este item para um fornecedor</t>
        </is>
      </c>
      <c r="I119" s="18" t="inlineStr">
        <is>
          <t>com lacuna</t>
        </is>
      </c>
    </row>
    <row r="120">
      <c r="A120" s="9" t="inlineStr">
        <is>
          <t>EXT-PG02-TRV</t>
        </is>
      </c>
      <c r="B120" s="10" t="inlineStr">
        <is>
          <t>externo</t>
        </is>
      </c>
      <c r="C120" s="11" t="inlineStr">
        <is>
          <t>Portao PG02: travessa e quadro</t>
        </is>
      </c>
      <c r="D120" s="10" t="inlineStr">
        <is>
          <t>m</t>
        </is>
      </c>
      <c r="E120" s="14" t="n">
        <v>8.9</v>
      </c>
      <c r="F120" s="11" t="inlineStr"/>
      <c r="G120" s="11" t="inlineStr"/>
      <c r="H120" s="11" t="inlineStr">
        <is>
          <t>o modelo nao sabe descrever este item para um fornecedor</t>
        </is>
      </c>
      <c r="I120" s="18" t="inlineStr">
        <is>
          <t>com lacuna</t>
        </is>
      </c>
    </row>
    <row r="121">
      <c r="A121" s="9" t="inlineStr">
        <is>
          <t>EXT-PG03-FER</t>
        </is>
      </c>
      <c r="B121" s="10" t="inlineStr">
        <is>
          <t>externo</t>
        </is>
      </c>
      <c r="C121" s="11" t="inlineStr">
        <is>
          <t>Portao PG03: dobradica reforcada</t>
        </is>
      </c>
      <c r="D121" s="10" t="inlineStr">
        <is>
          <t>un</t>
        </is>
      </c>
      <c r="E121" s="14" t="n">
        <v>6</v>
      </c>
      <c r="F121" s="11" t="inlineStr"/>
      <c r="G121" s="11" t="inlineStr"/>
      <c r="H121" s="11" t="inlineStr">
        <is>
          <t>o modelo nao sabe descrever este item para um fornecedor</t>
        </is>
      </c>
      <c r="I121" s="18" t="inlineStr">
        <is>
          <t>com lacuna</t>
        </is>
      </c>
    </row>
    <row r="122">
      <c r="A122" s="9" t="inlineStr">
        <is>
          <t>EXT-PISC-FONTE</t>
        </is>
      </c>
      <c r="B122" s="10" t="inlineStr">
        <is>
          <t>externo</t>
        </is>
      </c>
      <c r="C122" s="11" t="inlineStr">
        <is>
          <t>Piscina: fonte SELV 12 V com DR</t>
        </is>
      </c>
      <c r="D122" s="10" t="inlineStr">
        <is>
          <t>un</t>
        </is>
      </c>
      <c r="E122" s="14" t="n">
        <v>1</v>
      </c>
      <c r="F122" s="11" t="inlineStr"/>
      <c r="G122" s="11" t="inlineStr"/>
      <c r="H122" s="11" t="inlineStr">
        <is>
          <t>o modelo nao sabe descrever este item para um fornecedor</t>
        </is>
      </c>
      <c r="I122" s="18" t="inlineStr">
        <is>
          <t>com lacuna</t>
        </is>
      </c>
    </row>
    <row r="123">
      <c r="A123" s="9" t="inlineStr">
        <is>
          <t>EXT-PISC-REG</t>
        </is>
      </c>
      <c r="B123" s="10" t="inlineStr">
        <is>
          <t>externo</t>
        </is>
      </c>
      <c r="C123" s="11" t="inlineStr">
        <is>
          <t>Piscina: registro de esfera DN50</t>
        </is>
      </c>
      <c r="D123" s="10" t="inlineStr">
        <is>
          <t>un</t>
        </is>
      </c>
      <c r="E123" s="14" t="n">
        <v>5</v>
      </c>
      <c r="F123" s="11" t="inlineStr"/>
      <c r="G123" s="11" t="inlineStr"/>
      <c r="H123" s="11" t="inlineStr">
        <is>
          <t>o modelo nao sabe descrever este item para um fornecedor</t>
        </is>
      </c>
      <c r="I123" s="18" t="inlineStr">
        <is>
          <t>com lacuna</t>
        </is>
      </c>
    </row>
    <row r="124">
      <c r="A124" s="9" t="inlineStr">
        <is>
          <t>EXT-PISC-SKIM</t>
        </is>
      </c>
      <c r="B124" s="10" t="inlineStr">
        <is>
          <t>externo</t>
        </is>
      </c>
      <c r="C124" s="11" t="inlineStr">
        <is>
          <t>Piscina: skimmer de embutir</t>
        </is>
      </c>
      <c r="D124" s="10" t="inlineStr">
        <is>
          <t>un</t>
        </is>
      </c>
      <c r="E124" s="14" t="n">
        <v>1</v>
      </c>
      <c r="F124" s="11" t="inlineStr"/>
      <c r="G124" s="11" t="inlineStr"/>
      <c r="H124" s="11" t="inlineStr">
        <is>
          <t>o modelo nao sabe descrever este item para um fornecedor</t>
        </is>
      </c>
      <c r="I124" s="18" t="inlineStr">
        <is>
          <t>com lacuna</t>
        </is>
      </c>
    </row>
    <row r="125">
      <c r="A125" s="9" t="inlineStr">
        <is>
          <t>EXT-PISC-RET</t>
        </is>
      </c>
      <c r="B125" s="10" t="inlineStr">
        <is>
          <t>externo</t>
        </is>
      </c>
      <c r="C125" s="11" t="inlineStr">
        <is>
          <t>Piscina: dispositivo de retorno</t>
        </is>
      </c>
      <c r="D125" s="10" t="inlineStr">
        <is>
          <t>un</t>
        </is>
      </c>
      <c r="E125" s="14" t="n">
        <v>4</v>
      </c>
      <c r="F125" s="11" t="inlineStr"/>
      <c r="G125" s="11" t="inlineStr"/>
      <c r="H125" s="11" t="inlineStr">
        <is>
          <t>o modelo nao sabe descrever este item para um fornecedor</t>
        </is>
      </c>
      <c r="I125" s="18" t="inlineStr">
        <is>
          <t>com lacuna</t>
        </is>
      </c>
    </row>
    <row r="126">
      <c r="A126" s="9" t="inlineStr">
        <is>
          <t>EXT-PG02-FER</t>
        </is>
      </c>
      <c r="B126" s="10" t="inlineStr">
        <is>
          <t>externo</t>
        </is>
      </c>
      <c r="C126" s="11" t="inlineStr">
        <is>
          <t>Portao PG02: dobradica reforcada</t>
        </is>
      </c>
      <c r="D126" s="10" t="inlineStr">
        <is>
          <t>un</t>
        </is>
      </c>
      <c r="E126" s="14" t="n">
        <v>3</v>
      </c>
      <c r="F126" s="11" t="inlineStr"/>
      <c r="G126" s="11" t="inlineStr"/>
      <c r="H126" s="11" t="inlineStr">
        <is>
          <t>o modelo nao sabe descrever este item para um fornecedor</t>
        </is>
      </c>
      <c r="I126" s="18" t="inlineStr">
        <is>
          <t>com lacuna</t>
        </is>
      </c>
    </row>
    <row r="127">
      <c r="A127" s="9" t="inlineStr">
        <is>
          <t>EXT-PG02-FEC</t>
        </is>
      </c>
      <c r="B127" s="10" t="inlineStr">
        <is>
          <t>externo</t>
        </is>
      </c>
      <c r="C127" s="11" t="inlineStr">
        <is>
          <t>Portao PG02: fechadura</t>
        </is>
      </c>
      <c r="D127" s="10" t="inlineStr">
        <is>
          <t>un</t>
        </is>
      </c>
      <c r="E127" s="14" t="n">
        <v>1</v>
      </c>
      <c r="F127" s="11" t="inlineStr"/>
      <c r="G127" s="11" t="inlineStr"/>
      <c r="H127" s="11" t="inlineStr">
        <is>
          <t>o modelo nao sabe descrever este item para um fornecedor</t>
        </is>
      </c>
      <c r="I127" s="18" t="inlineStr">
        <is>
          <t>com lacuna</t>
        </is>
      </c>
    </row>
    <row r="128">
      <c r="A128" s="9" t="inlineStr">
        <is>
          <t>EXT-PG03-FEC</t>
        </is>
      </c>
      <c r="B128" s="10" t="inlineStr">
        <is>
          <t>externo</t>
        </is>
      </c>
      <c r="C128" s="11" t="inlineStr">
        <is>
          <t>Portao PG03: fechadura</t>
        </is>
      </c>
      <c r="D128" s="10" t="inlineStr">
        <is>
          <t>un</t>
        </is>
      </c>
      <c r="E128" s="14" t="n">
        <v>1</v>
      </c>
      <c r="F128" s="11" t="inlineStr"/>
      <c r="G128" s="11" t="inlineStr"/>
      <c r="H128" s="11" t="inlineStr">
        <is>
          <t>o modelo nao sabe descrever este item para um fornecedor</t>
        </is>
      </c>
      <c r="I128" s="18" t="inlineStr">
        <is>
          <t>com lacuna</t>
        </is>
      </c>
    </row>
    <row r="129">
      <c r="A129" s="9" t="inlineStr">
        <is>
          <t>EXT-PISC-CABO</t>
        </is>
      </c>
      <c r="B129" s="10" t="inlineStr">
        <is>
          <t>externo</t>
        </is>
      </c>
      <c r="C129" s="11" t="inlineStr">
        <is>
          <t>Piscina: cabo 12 V dos LEDs</t>
        </is>
      </c>
      <c r="D129" s="10" t="inlineStr">
        <is>
          <t>m</t>
        </is>
      </c>
      <c r="E129" s="14" t="n">
        <v>34.5</v>
      </c>
      <c r="F129" s="11" t="inlineStr"/>
      <c r="G129" s="11" t="inlineStr"/>
      <c r="H129" s="11" t="inlineStr">
        <is>
          <t>o modelo nao sabe descrever este item para um fornecedor</t>
        </is>
      </c>
      <c r="I129" s="18" t="inlineStr">
        <is>
          <t>com lacuna</t>
        </is>
      </c>
    </row>
    <row r="130">
      <c r="A130" s="9" t="inlineStr">
        <is>
          <t>EXT-PISC-CXP</t>
        </is>
      </c>
      <c r="B130" s="10" t="inlineStr">
        <is>
          <t>externo</t>
        </is>
      </c>
      <c r="C130" s="11" t="inlineStr">
        <is>
          <t>Piscina: caixa de passagem estanque no deck</t>
        </is>
      </c>
      <c r="D130" s="10" t="inlineStr">
        <is>
          <t>un</t>
        </is>
      </c>
      <c r="E130" s="14" t="n">
        <v>3</v>
      </c>
      <c r="F130" s="11" t="inlineStr"/>
      <c r="G130" s="11" t="inlineStr"/>
      <c r="H130" s="11" t="inlineStr">
        <is>
          <t>o modelo nao sabe descrever este item para um fornecedor</t>
        </is>
      </c>
      <c r="I130" s="18" t="inlineStr">
        <is>
          <t>com lacuna</t>
        </is>
      </c>
    </row>
    <row r="131">
      <c r="A131" s="9" t="inlineStr">
        <is>
          <t>EXT-PISC-ASP</t>
        </is>
      </c>
      <c r="B131" s="10" t="inlineStr">
        <is>
          <t>externo</t>
        </is>
      </c>
      <c r="C131" s="11" t="inlineStr">
        <is>
          <t>Piscina: tomada de aspiracao</t>
        </is>
      </c>
      <c r="D131" s="10" t="inlineStr">
        <is>
          <t>un</t>
        </is>
      </c>
      <c r="E131" s="14" t="n">
        <v>1</v>
      </c>
      <c r="F131" s="11" t="inlineStr"/>
      <c r="G131" s="11" t="inlineStr"/>
      <c r="H131" s="11" t="inlineStr">
        <is>
          <t>o modelo nao sabe descrever este item para um fornecedor</t>
        </is>
      </c>
      <c r="I131" s="18" t="inlineStr">
        <is>
          <t>com lacuna</t>
        </is>
      </c>
    </row>
    <row r="132">
      <c r="A132" s="9" t="inlineStr">
        <is>
          <t>MO-MON</t>
        </is>
      </c>
      <c r="B132" s="10" t="inlineStr">
        <is>
          <t>servico</t>
        </is>
      </c>
      <c r="C132" s="11" t="inlineStr">
        <is>
          <t>Mao de obra de montagem</t>
        </is>
      </c>
      <c r="D132" s="10" t="inlineStr">
        <is>
          <t>h</t>
        </is>
      </c>
      <c r="E132" s="14" t="n">
        <v>927.5</v>
      </c>
      <c r="F132" s="11" t="inlineStr">
        <is>
          <t>hora de equipe, com encargos e EPI</t>
        </is>
      </c>
      <c r="G132" s="11" t="inlineStr"/>
      <c r="H132" s="11" t="inlineStr">
        <is>
          <t>convencao coletiva vigente e composicao de encargos</t>
        </is>
      </c>
      <c r="I132" s="18" t="inlineStr">
        <is>
          <t>sim</t>
        </is>
      </c>
    </row>
    <row r="133">
      <c r="A133" s="9" t="inlineStr">
        <is>
          <t>MO-FAB</t>
        </is>
      </c>
      <c r="B133" s="10" t="inlineStr">
        <is>
          <t>servico</t>
        </is>
      </c>
      <c r="C133" s="11" t="inlineStr">
        <is>
          <t>Mao de obra de fabrica</t>
        </is>
      </c>
      <c r="D133" s="10" t="inlineStr">
        <is>
          <t>h</t>
        </is>
      </c>
      <c r="E133" s="14" t="n">
        <v>54.6</v>
      </c>
      <c r="F133" s="11" t="inlineStr">
        <is>
          <t>hora de equipe, com encargos e EPI</t>
        </is>
      </c>
      <c r="G133" s="11" t="inlineStr"/>
      <c r="H133" s="11" t="inlineStr">
        <is>
          <t>convencao coletiva vigente e composicao de encargos</t>
        </is>
      </c>
      <c r="I133" s="18" t="inlineStr">
        <is>
          <t>sim</t>
        </is>
      </c>
    </row>
    <row r="134">
      <c r="A134" s="9" t="inlineStr">
        <is>
          <t>MAR-ARM</t>
        </is>
      </c>
      <c r="B134" s="10" t="inlineStr">
        <is>
          <t>marcenaria</t>
        </is>
      </c>
      <c r="C134" s="11" t="inlineStr">
        <is>
          <t>Armario de MDF sob medida (frente)</t>
        </is>
      </c>
      <c r="D134" s="10" t="inlineStr">
        <is>
          <t>m2</t>
        </is>
      </c>
      <c r="E134" s="14" t="n">
        <v>48.64</v>
      </c>
      <c r="F134" s="11" t="inlineStr">
        <is>
          <t>marcenaria sob medida conforme planta de layout; MDF 18 mm com acabamento em laminado ou pintura PU; ferragem com amortecedor</t>
        </is>
      </c>
      <c r="G134" s="11" t="inlineStr"/>
      <c r="H134" s="11" t="inlineStr">
        <is>
          <t>desenho executivo de marcenaria: a planta da a extensao e a profundidade, nao o interior do movel</t>
        </is>
      </c>
      <c r="I134" s="18" t="inlineStr">
        <is>
          <t>sim</t>
        </is>
      </c>
    </row>
    <row r="135">
      <c r="A135" s="9" t="inlineStr">
        <is>
          <t>REV-PISO</t>
        </is>
      </c>
      <c r="B135" s="10" t="inlineStr">
        <is>
          <t>revestimento</t>
        </is>
      </c>
      <c r="C135" s="11" t="inlineStr">
        <is>
          <t>Piso interno (porcelanato retificado)</t>
        </is>
      </c>
      <c r="D135" s="10" t="inlineStr">
        <is>
          <t>m2</t>
        </is>
      </c>
      <c r="E135" s="14" t="n">
        <v>366.3</v>
      </c>
      <c r="F135" s="11" t="inlineStr">
        <is>
          <t>revestimento ceramico conforme quadro de acabamentos por ambiente; area ja com 10 % de perda de corte e quebra</t>
        </is>
      </c>
      <c r="G135" s="11" t="inlineStr">
        <is>
          <t>NBR 13818, NBR 15463</t>
        </is>
      </c>
      <c r="H135" s="11" t="inlineStr">
        <is>
          <t>linha, formato e PEI: o modelo define o TIPO por ambiente, a linha e escolha de acabamento</t>
        </is>
      </c>
      <c r="I135" s="18" t="inlineStr">
        <is>
          <t>sim</t>
        </is>
      </c>
    </row>
    <row r="136">
      <c r="A136" s="9" t="inlineStr">
        <is>
          <t>FV-MODULO</t>
        </is>
      </c>
      <c r="B136" s="10" t="inlineStr">
        <is>
          <t>eletrica</t>
        </is>
      </c>
      <c r="C136" s="11" t="inlineStr">
        <is>
          <t>Modulo fotovoltaico 550 Wp</t>
        </is>
      </c>
      <c r="D136" s="10" t="inlineStr">
        <is>
          <t>un</t>
        </is>
      </c>
      <c r="E136" s="14" t="n">
        <v>30</v>
      </c>
      <c r="F136" s="11" t="inlineStr">
        <is>
          <t>sistema fotovoltaico conectado a rede (on-grid), microgeracao REN ANEEL 1.000/2021; modulos monocristalinos, inversor string trifasico com monitoramento</t>
        </is>
      </c>
      <c r="G136" s="11" t="inlineStr">
        <is>
          <t>NBR 16274, NBR 16690, Portaria INMETRO 140/2022</t>
        </is>
      </c>
      <c r="H136" s="11" t="inlineStr">
        <is>
          <t>marca e modelo de modulo e inversor; a potencia e a area estao dimensionadas, o produto e cotacao</t>
        </is>
      </c>
      <c r="I136" s="18" t="inlineStr">
        <is>
          <t>sim</t>
        </is>
      </c>
    </row>
    <row r="137">
      <c r="A137" s="9" t="inlineStr">
        <is>
          <t>PIN-PAREDE</t>
        </is>
      </c>
      <c r="B137" s="10" t="inlineStr">
        <is>
          <t>pintura</t>
        </is>
      </c>
      <c r="C137" s="11" t="inlineStr">
        <is>
          <t>Pintura de parede interna (latex acrilico, 2 demaos)</t>
        </is>
      </c>
      <c r="D137" s="10" t="inlineStr">
        <is>
          <t>m2</t>
        </is>
      </c>
      <c r="E137" s="14" t="n">
        <v>701.7</v>
      </c>
      <c r="F137" s="11" t="inlineStr">
        <is>
          <t>tinta e mao de obra conforme especificacao de acabamento; 2 demaos sobre selador; rendimento declarado na quantidade</t>
        </is>
      </c>
      <c r="G137" s="11" t="inlineStr">
        <is>
          <t>NBR 11702, NBR 13245</t>
        </is>
      </c>
      <c r="H137" s="11" t="inlineStr"/>
      <c r="I137" s="18" t="inlineStr">
        <is>
          <t>sim</t>
        </is>
      </c>
    </row>
    <row r="138">
      <c r="A138" s="9" t="inlineStr">
        <is>
          <t>MAR-GAB</t>
        </is>
      </c>
      <c r="B138" s="10" t="inlineStr">
        <is>
          <t>marcenaria</t>
        </is>
      </c>
      <c r="C138" s="11" t="inlineStr">
        <is>
          <t>Gabinete sob bancada, sob medida</t>
        </is>
      </c>
      <c r="D138" s="10" t="inlineStr">
        <is>
          <t>m</t>
        </is>
      </c>
      <c r="E138" s="14" t="n">
        <v>11.4</v>
      </c>
      <c r="F138" s="11" t="inlineStr">
        <is>
          <t>marcenaria sob medida conforme planta de layout; MDF 18 mm com acabamento em laminado ou pintura PU; ferragem com amortecedor</t>
        </is>
      </c>
      <c r="G138" s="11" t="inlineStr"/>
      <c r="H138" s="11" t="inlineStr">
        <is>
          <t>desenho executivo de marcenaria: a planta da a extensao e a profundidade, nao o interior do movel</t>
        </is>
      </c>
      <c r="I138" s="18" t="inlineStr">
        <is>
          <t>sim</t>
        </is>
      </c>
    </row>
    <row r="139">
      <c r="A139" s="9" t="inlineStr">
        <is>
          <t>REV-PAREDE</t>
        </is>
      </c>
      <c r="B139" s="10" t="inlineStr">
        <is>
          <t>revestimento</t>
        </is>
      </c>
      <c r="C139" s="11" t="inlineStr">
        <is>
          <t>Revestimento ceramico de parede em area molhada</t>
        </is>
      </c>
      <c r="D139" s="10" t="inlineStr">
        <is>
          <t>m2</t>
        </is>
      </c>
      <c r="E139" s="14" t="n">
        <v>155.5</v>
      </c>
      <c r="F139" s="11" t="inlineStr">
        <is>
          <t>revestimento ceramico conforme quadro de acabamentos por ambiente; area ja com 10 % de perda de corte e quebra</t>
        </is>
      </c>
      <c r="G139" s="11" t="inlineStr">
        <is>
          <t>NBR 13818, NBR 15463</t>
        </is>
      </c>
      <c r="H139" s="11" t="inlineStr">
        <is>
          <t>linha, formato e PEI: o modelo define o TIPO por ambiente, a linha e escolha de acabamento</t>
        </is>
      </c>
      <c r="I139" s="18" t="inlineStr">
        <is>
          <t>sim</t>
        </is>
      </c>
    </row>
    <row r="140">
      <c r="A140" s="9" t="inlineStr">
        <is>
          <t>EQP-SPLIT18</t>
        </is>
      </c>
      <c r="B140" s="10" t="inlineStr">
        <is>
          <t>equipamentos</t>
        </is>
      </c>
      <c r="C140" s="11" t="inlineStr">
        <is>
          <t>Split inverter 18.000 BTU/h</t>
        </is>
      </c>
      <c r="D140" s="10" t="inlineStr">
        <is>
          <t>un</t>
        </is>
      </c>
      <c r="E140" s="14" t="n">
        <v>4</v>
      </c>
      <c r="F140" s="11" t="inlineStr">
        <is>
          <t>equipamento novo, com garantia de fabrica e instalacao por credenciado; inverter, ciclo frio, R-32 ou R-410A, classe A</t>
        </is>
      </c>
      <c r="G140" s="11" t="inlineStr">
        <is>
          <t>NBR 16401, Portaria INMETRO de eficiencia</t>
        </is>
      </c>
      <c r="H140" s="11" t="inlineStr">
        <is>
          <t>marca e modelo: a capacidade esta dimensionada, a escolha do equipamento e do proprietario</t>
        </is>
      </c>
      <c r="I140" s="18" t="inlineStr">
        <is>
          <t>sim</t>
        </is>
      </c>
    </row>
    <row r="141">
      <c r="A141" s="9" t="inlineStr">
        <is>
          <t>LOU-BOX</t>
        </is>
      </c>
      <c r="B141" s="10" t="inlineStr">
        <is>
          <t>loucas</t>
        </is>
      </c>
      <c r="C141" s="11" t="inlineStr">
        <is>
          <t>Box de vidro temperado 8 mm, 1.900 mm de altura</t>
        </is>
      </c>
      <c r="D141" s="10" t="inlineStr">
        <is>
          <t>m2</t>
        </is>
      </c>
      <c r="E141" s="14" t="n">
        <v>16.1</v>
      </c>
      <c r="F141" s="11" t="inlineStr">
        <is>
          <t>louca / metal sanitario de linha comercial, cor branca para louca e acabamento cromado para metal; quantidade contada das pecas LOCADAS em planta, nao estimada por comodo</t>
        </is>
      </c>
      <c r="G141" s="11" t="inlineStr">
        <is>
          <t>NBR 15097, NBR 15705</t>
        </is>
      </c>
      <c r="H141" s="11" t="inlineStr">
        <is>
          <t>linha e fabricante: louca e metal sao decisao de acabamento do proprietario, e a mesma peca varia 3x de preco entre linhas</t>
        </is>
      </c>
      <c r="I141" s="18" t="inlineStr">
        <is>
          <t>sim</t>
        </is>
      </c>
    </row>
    <row r="142">
      <c r="A142" s="9" t="inlineStr">
        <is>
          <t>REV-ARG</t>
        </is>
      </c>
      <c r="B142" s="10" t="inlineStr">
        <is>
          <t>revestimento</t>
        </is>
      </c>
      <c r="C142" s="11" t="inlineStr">
        <is>
          <t>Argamassa colante AC-III e regularizacao</t>
        </is>
      </c>
      <c r="D142" s="10" t="inlineStr">
        <is>
          <t>m2</t>
        </is>
      </c>
      <c r="E142" s="14" t="n">
        <v>521.8</v>
      </c>
      <c r="F142" s="11" t="inlineStr">
        <is>
          <t>revestimento ceramico conforme quadro de acabamentos por ambiente; area ja com 10 % de perda de corte e quebra</t>
        </is>
      </c>
      <c r="G142" s="11" t="inlineStr">
        <is>
          <t>NBR 13818, NBR 15463</t>
        </is>
      </c>
      <c r="H142" s="11" t="inlineStr">
        <is>
          <t>linha, formato e PEI: o modelo define o TIPO por ambiente, a linha e escolha de acabamento</t>
        </is>
      </c>
      <c r="I142" s="18" t="inlineStr">
        <is>
          <t>sim</t>
        </is>
      </c>
    </row>
    <row r="143">
      <c r="A143" s="9" t="inlineStr">
        <is>
          <t>FV-INVERSOR</t>
        </is>
      </c>
      <c r="B143" s="10" t="inlineStr">
        <is>
          <t>eletrica</t>
        </is>
      </c>
      <c r="C143" s="11" t="inlineStr">
        <is>
          <t>Inversor string 15 kW, trifasico 220 V</t>
        </is>
      </c>
      <c r="D143" s="10" t="inlineStr">
        <is>
          <t>kW</t>
        </is>
      </c>
      <c r="E143" s="14" t="n">
        <v>15</v>
      </c>
      <c r="F143" s="11" t="inlineStr">
        <is>
          <t>sistema fotovoltaico conectado a rede (on-grid), microgeracao REN ANEEL 1.000/2021; modulos monocristalinos, inversor string trifasico com monitoramento</t>
        </is>
      </c>
      <c r="G143" s="11" t="inlineStr">
        <is>
          <t>NBR 16274, NBR 16690, Portaria INMETRO 140/2022</t>
        </is>
      </c>
      <c r="H143" s="11" t="inlineStr">
        <is>
          <t>marca e modelo de modulo e inversor; a potencia e a area estao dimensionadas, o produto e cotacao</t>
        </is>
      </c>
      <c r="I143" s="18" t="inlineStr">
        <is>
          <t>sim</t>
        </is>
      </c>
    </row>
    <row r="144">
      <c r="A144" s="9" t="inlineStr">
        <is>
          <t>MAR-PRAT</t>
        </is>
      </c>
      <c r="B144" s="10" t="inlineStr">
        <is>
          <t>marcenaria</t>
        </is>
      </c>
      <c r="C144" s="11" t="inlineStr">
        <is>
          <t>Prateleira aberta, por metro de prateleira</t>
        </is>
      </c>
      <c r="D144" s="10" t="inlineStr">
        <is>
          <t>m</t>
        </is>
      </c>
      <c r="E144" s="14" t="n">
        <v>35.19</v>
      </c>
      <c r="F144" s="11" t="inlineStr">
        <is>
          <t>marcenaria sob medida conforme planta de layout; MDF 18 mm com acabamento em laminado ou pintura PU; ferragem com amortecedor</t>
        </is>
      </c>
      <c r="G144" s="11" t="inlineStr"/>
      <c r="H144" s="11" t="inlineStr">
        <is>
          <t>desenho executivo de marcenaria: a planta da a extensao e a profundidade, nao o interior do movel</t>
        </is>
      </c>
      <c r="I144" s="18" t="inlineStr">
        <is>
          <t>sim</t>
        </is>
      </c>
    </row>
    <row r="145">
      <c r="A145" s="9" t="inlineStr">
        <is>
          <t>FV-INSTAL</t>
        </is>
      </c>
      <c r="B145" s="10" t="inlineStr">
        <is>
          <t>eletrica</t>
        </is>
      </c>
      <c r="C145" s="11" t="inlineStr">
        <is>
          <t>Instalacao e comissionamento</t>
        </is>
      </c>
      <c r="D145" s="10" t="inlineStr">
        <is>
          <t>kWp</t>
        </is>
      </c>
      <c r="E145" s="14" t="n">
        <v>16.5</v>
      </c>
      <c r="F145" s="11" t="inlineStr">
        <is>
          <t>sistema fotovoltaico conectado a rede (on-grid), microgeracao REN ANEEL 1.000/2021; modulos monocristalinos, inversor string trifasico com monitoramento</t>
        </is>
      </c>
      <c r="G145" s="11" t="inlineStr">
        <is>
          <t>NBR 16274, NBR 16690, Portaria INMETRO 140/2022</t>
        </is>
      </c>
      <c r="H145" s="11" t="inlineStr">
        <is>
          <t>marca e modelo de modulo e inversor; a potencia e a area estao dimensionadas, o produto e cotacao</t>
        </is>
      </c>
      <c r="I145" s="18" t="inlineStr">
        <is>
          <t>sim</t>
        </is>
      </c>
    </row>
    <row r="146">
      <c r="A146" s="9" t="inlineStr">
        <is>
          <t>MAR-TAMPO</t>
        </is>
      </c>
      <c r="B146" s="10" t="inlineStr">
        <is>
          <t>marcenaria</t>
        </is>
      </c>
      <c r="C146" s="11" t="inlineStr">
        <is>
          <t>Tampo de bancada (quartzo/granito)</t>
        </is>
      </c>
      <c r="D146" s="10" t="inlineStr">
        <is>
          <t>m2</t>
        </is>
      </c>
      <c r="E146" s="14" t="n">
        <v>6.84</v>
      </c>
      <c r="F146" s="11" t="inlineStr">
        <is>
          <t>marcenaria sob medida conforme planta de layout; MDF 18 mm com acabamento em laminado ou pintura PU; ferragem com amortecedor</t>
        </is>
      </c>
      <c r="G146" s="11" t="inlineStr"/>
      <c r="H146" s="11" t="inlineStr">
        <is>
          <t>desenho executivo de marcenaria: a planta da a extensao e a profundidade, nao o interior do movel</t>
        </is>
      </c>
      <c r="I146" s="18" t="inlineStr">
        <is>
          <t>sim</t>
        </is>
      </c>
    </row>
    <row r="147">
      <c r="A147" s="9" t="inlineStr">
        <is>
          <t>FV-ESTRUTURA</t>
        </is>
      </c>
      <c r="B147" s="10" t="inlineStr">
        <is>
          <t>eletrica</t>
        </is>
      </c>
      <c r="C147" s="11" t="inlineStr">
        <is>
          <t>Estrutura de fixacao em aluminio sobre terca</t>
        </is>
      </c>
      <c r="D147" s="10" t="inlineStr">
        <is>
          <t>m2</t>
        </is>
      </c>
      <c r="E147" s="14" t="n">
        <v>89.09999999999999</v>
      </c>
      <c r="F147" s="11" t="inlineStr">
        <is>
          <t>sistema fotovoltaico conectado a rede (on-grid), microgeracao REN ANEEL 1.000/2021; modulos monocristalinos, inversor string trifasico com monitoramento</t>
        </is>
      </c>
      <c r="G147" s="11" t="inlineStr">
        <is>
          <t>NBR 16274, NBR 16690, Portaria INMETRO 140/2022</t>
        </is>
      </c>
      <c r="H147" s="11" t="inlineStr">
        <is>
          <t>marca e modelo de modulo e inversor; a potencia e a area estao dimensionadas, o produto e cotacao</t>
        </is>
      </c>
      <c r="I147" s="18" t="inlineStr">
        <is>
          <t>sim</t>
        </is>
      </c>
    </row>
    <row r="148">
      <c r="A148" s="9" t="inlineStr">
        <is>
          <t>REV-RODAPE</t>
        </is>
      </c>
      <c r="B148" s="10" t="inlineStr">
        <is>
          <t>revestimento</t>
        </is>
      </c>
      <c r="C148" s="11" t="inlineStr">
        <is>
          <t>Rodape (poliestireno 100 mm, pintado)</t>
        </is>
      </c>
      <c r="D148" s="10" t="inlineStr">
        <is>
          <t>m</t>
        </is>
      </c>
      <c r="E148" s="14" t="n">
        <v>241.9</v>
      </c>
      <c r="F148" s="11" t="inlineStr">
        <is>
          <t>revestimento ceramico conforme quadro de acabamentos por ambiente; area ja com 10 % de perda de corte e quebra</t>
        </is>
      </c>
      <c r="G148" s="11" t="inlineStr">
        <is>
          <t>NBR 13818, NBR 15463</t>
        </is>
      </c>
      <c r="H148" s="11" t="inlineStr">
        <is>
          <t>linha, formato e PEI: o modelo define o TIPO por ambiente, a linha e escolha de acabamento</t>
        </is>
      </c>
      <c r="I148" s="18" t="inlineStr">
        <is>
          <t>sim</t>
        </is>
      </c>
    </row>
    <row r="149">
      <c r="A149" s="9" t="inlineStr">
        <is>
          <t>PIN-TINTA</t>
        </is>
      </c>
      <c r="B149" s="10" t="inlineStr">
        <is>
          <t>pintura</t>
        </is>
      </c>
      <c r="C149" s="11" t="inlineStr">
        <is>
          <t>Tinta latex (2 demaos, rendimento 10 m2/L)</t>
        </is>
      </c>
      <c r="D149" s="10" t="inlineStr">
        <is>
          <t>L</t>
        </is>
      </c>
      <c r="E149" s="14" t="n">
        <v>193.7</v>
      </c>
      <c r="F149" s="11" t="inlineStr">
        <is>
          <t>tinta e mao de obra conforme especificacao de acabamento; 2 demaos sobre selador; rendimento declarado na quantidade</t>
        </is>
      </c>
      <c r="G149" s="11" t="inlineStr">
        <is>
          <t>NBR 11702, NBR 13245</t>
        </is>
      </c>
      <c r="H149" s="11" t="inlineStr"/>
      <c r="I149" s="18" t="inlineStr">
        <is>
          <t>sim</t>
        </is>
      </c>
    </row>
    <row r="150">
      <c r="A150" s="9" t="inlineStr">
        <is>
          <t>MAR-CABEC</t>
        </is>
      </c>
      <c r="B150" s="10" t="inlineStr">
        <is>
          <t>marcenaria</t>
        </is>
      </c>
      <c r="C150" s="11" t="inlineStr">
        <is>
          <t>Cabeceira estofada</t>
        </is>
      </c>
      <c r="D150" s="10" t="inlineStr">
        <is>
          <t>m2</t>
        </is>
      </c>
      <c r="E150" s="14" t="n">
        <v>10.96</v>
      </c>
      <c r="F150" s="11" t="inlineStr">
        <is>
          <t>marcenaria sob medida conforme planta de layout; MDF 18 mm com acabamento em laminado ou pintura PU; ferragem com amortecedor</t>
        </is>
      </c>
      <c r="G150" s="11" t="inlineStr"/>
      <c r="H150" s="11" t="inlineStr">
        <is>
          <t>desenho executivo de marcenaria: a planta da a extensao e a profundidade, nao o interior do movel</t>
        </is>
      </c>
      <c r="I150" s="18" t="inlineStr">
        <is>
          <t>sim</t>
        </is>
      </c>
    </row>
    <row r="151">
      <c r="A151" s="9" t="inlineStr">
        <is>
          <t>PIN-FORRO</t>
        </is>
      </c>
      <c r="B151" s="10" t="inlineStr">
        <is>
          <t>pintura</t>
        </is>
      </c>
      <c r="C151" s="11" t="inlineStr">
        <is>
          <t>Pintura de forro (latex PVA fosco)</t>
        </is>
      </c>
      <c r="D151" s="10" t="inlineStr">
        <is>
          <t>m2</t>
        </is>
      </c>
      <c r="E151" s="14" t="n">
        <v>266.8</v>
      </c>
      <c r="F151" s="11" t="inlineStr">
        <is>
          <t>tinta e mao de obra conforme especificacao de acabamento; 2 demaos sobre selador; rendimento declarado na quantidade</t>
        </is>
      </c>
      <c r="G151" s="11" t="inlineStr">
        <is>
          <t>NBR 11702, NBR 13245</t>
        </is>
      </c>
      <c r="H151" s="11" t="inlineStr"/>
      <c r="I151" s="18" t="inlineStr">
        <is>
          <t>sim</t>
        </is>
      </c>
    </row>
    <row r="152">
      <c r="A152" s="9" t="inlineStr">
        <is>
          <t>EQP-SPLIT9</t>
        </is>
      </c>
      <c r="B152" s="10" t="inlineStr">
        <is>
          <t>equipamentos</t>
        </is>
      </c>
      <c r="C152" s="11" t="inlineStr">
        <is>
          <t>Split inverter 9.000 BTU/h</t>
        </is>
      </c>
      <c r="D152" s="10" t="inlineStr">
        <is>
          <t>un</t>
        </is>
      </c>
      <c r="E152" s="14" t="n">
        <v>3</v>
      </c>
      <c r="F152" s="11" t="inlineStr">
        <is>
          <t>equipamento novo, com garantia de fabrica e instalacao por credenciado; inverter, ciclo frio, R-32 ou R-410A, classe A</t>
        </is>
      </c>
      <c r="G152" s="11" t="inlineStr">
        <is>
          <t>NBR 16401, Portaria INMETRO de eficiencia</t>
        </is>
      </c>
      <c r="H152" s="11" t="inlineStr">
        <is>
          <t>marca e modelo: a capacidade esta dimensionada, a escolha do equipamento e do proprietario</t>
        </is>
      </c>
      <c r="I152" s="18" t="inlineStr">
        <is>
          <t>sim</t>
        </is>
      </c>
    </row>
    <row r="153">
      <c r="A153" s="9" t="inlineStr">
        <is>
          <t>LUM-DOWNLIGHT18</t>
        </is>
      </c>
      <c r="B153" s="10" t="inlineStr">
        <is>
          <t>eletrica</t>
        </is>
      </c>
      <c r="C153" s="11" t="inlineStr">
        <is>
          <t>Downlight LED embutido 18 W</t>
        </is>
      </c>
      <c r="D153" s="10" t="inlineStr">
        <is>
          <t>un</t>
        </is>
      </c>
      <c r="E153" s="14" t="n">
        <v>45</v>
      </c>
      <c r="F15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3" s="11" t="inlineStr">
        <is>
          <t>NBR ISO/CIE 8995-1, Portaria INMETRO 20/2017 (LED)</t>
        </is>
      </c>
      <c r="H153" s="11" t="inlineStr">
        <is>
          <t>marca e modelo: o fluxo e a potencia de cada tipo estao declarados; o produto e escolha de acabamento</t>
        </is>
      </c>
      <c r="I153" s="18" t="inlineStr">
        <is>
          <t>sim</t>
        </is>
      </c>
    </row>
    <row r="154">
      <c r="A154" s="9" t="inlineStr">
        <is>
          <t>SPD-CAPTOR</t>
        </is>
      </c>
      <c r="B154" s="10" t="inlineStr">
        <is>
          <t>eletrica</t>
        </is>
      </c>
      <c r="C154" s="11" t="inlineStr">
        <is>
          <t>Captor: cabo de aluminio 70 mm2 no perimetro da cobertura</t>
        </is>
      </c>
      <c r="D154" s="10" t="inlineStr">
        <is>
          <t>m</t>
        </is>
      </c>
      <c r="E154" s="14" t="n">
        <v>147</v>
      </c>
      <c r="F154" s="11" t="inlineStr">
        <is>
          <t>SPDA conforme NBR 5419-3, classe IV: captor em anel no perimetro da cobertura, descidas naturais pela estrutura de aco com continuidade ensaiada, anel de aterramento no radier</t>
        </is>
      </c>
      <c r="G154" s="11" t="inlineStr">
        <is>
          <t>NBR 5410, NBR 5419-3, NBR 5419-4</t>
        </is>
      </c>
      <c r="H154" s="11" t="inlineStr">
        <is>
          <t>laudo de continuidade eletrica da estrutura e medicao de resistencia de aterramento apos a execucao</t>
        </is>
      </c>
      <c r="I154" s="18" t="inlineStr">
        <is>
          <t>sim</t>
        </is>
      </c>
    </row>
    <row r="155">
      <c r="A155" s="9" t="inlineStr">
        <is>
          <t>EQP-SPLIT30</t>
        </is>
      </c>
      <c r="B155" s="10" t="inlineStr">
        <is>
          <t>equipamentos</t>
        </is>
      </c>
      <c r="C155" s="11" t="inlineStr">
        <is>
          <t>Split inverter 30.000 BTU/h</t>
        </is>
      </c>
      <c r="D155" s="10" t="inlineStr">
        <is>
          <t>un</t>
        </is>
      </c>
      <c r="E155" s="14" t="n">
        <v>1</v>
      </c>
      <c r="F155" s="11" t="inlineStr">
        <is>
          <t>equipamento novo, com garantia de fabrica e instalacao por credenciado; inverter, ciclo frio, R-32 ou R-410A, classe A</t>
        </is>
      </c>
      <c r="G155" s="11" t="inlineStr">
        <is>
          <t>NBR 16401, Portaria INMETRO de eficiencia</t>
        </is>
      </c>
      <c r="H155" s="11" t="inlineStr">
        <is>
          <t>marca e modelo: a capacidade esta dimensionada, a escolha do equipamento e do proprietario</t>
        </is>
      </c>
      <c r="I155" s="18" t="inlineStr">
        <is>
          <t>sim</t>
        </is>
      </c>
    </row>
    <row r="156">
      <c r="A156" s="9" t="inlineStr">
        <is>
          <t>LUM-DOWNLIGHT24</t>
        </is>
      </c>
      <c r="B156" s="10" t="inlineStr">
        <is>
          <t>eletrica</t>
        </is>
      </c>
      <c r="C156" s="11" t="inlineStr">
        <is>
          <t>Downlight LED embutido 24 W</t>
        </is>
      </c>
      <c r="D156" s="10" t="inlineStr">
        <is>
          <t>un</t>
        </is>
      </c>
      <c r="E156" s="14" t="n">
        <v>31</v>
      </c>
      <c r="F15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6" s="11" t="inlineStr">
        <is>
          <t>NBR ISO/CIE 8995-1, Portaria INMETRO 20/2017 (LED)</t>
        </is>
      </c>
      <c r="H156" s="11" t="inlineStr">
        <is>
          <t>marca e modelo: o fluxo e a potencia de cada tipo estao declarados; o produto e escolha de acabamento</t>
        </is>
      </c>
      <c r="I156" s="18" t="inlineStr">
        <is>
          <t>sim</t>
        </is>
      </c>
    </row>
    <row r="157">
      <c r="A157" s="9" t="inlineStr">
        <is>
          <t>MAR-CORT</t>
        </is>
      </c>
      <c r="B157" s="10" t="inlineStr">
        <is>
          <t>marcenaria</t>
        </is>
      </c>
      <c r="C157" s="11" t="inlineStr">
        <is>
          <t>Cortina blackout com trilho, dormitorios</t>
        </is>
      </c>
      <c r="D157" s="10" t="inlineStr">
        <is>
          <t>m</t>
        </is>
      </c>
      <c r="E157" s="14" t="n">
        <v>13.2</v>
      </c>
      <c r="F157" s="11" t="inlineStr">
        <is>
          <t>marcenaria sob medida conforme planta de layout; MDF 18 mm com acabamento em laminado ou pintura PU; ferragem com amortecedor</t>
        </is>
      </c>
      <c r="G157" s="11" t="inlineStr"/>
      <c r="H157" s="11" t="inlineStr">
        <is>
          <t>desenho executivo de marcenaria: a planta da a extensao e a profundidade, nao o interior do movel</t>
        </is>
      </c>
      <c r="I157" s="18" t="inlineStr">
        <is>
          <t>sim</t>
        </is>
      </c>
    </row>
    <row r="158">
      <c r="A158" s="9" t="inlineStr">
        <is>
          <t>REV-REJ</t>
        </is>
      </c>
      <c r="B158" s="10" t="inlineStr">
        <is>
          <t>revestimento</t>
        </is>
      </c>
      <c r="C158" s="11" t="inlineStr">
        <is>
          <t>Rejunte epoxi/acrilico</t>
        </is>
      </c>
      <c r="D158" s="10" t="inlineStr">
        <is>
          <t>m2</t>
        </is>
      </c>
      <c r="E158" s="14" t="n">
        <v>521.8</v>
      </c>
      <c r="F158" s="11" t="inlineStr">
        <is>
          <t>revestimento ceramico conforme quadro de acabamentos por ambiente; area ja com 10 % de perda de corte e quebra</t>
        </is>
      </c>
      <c r="G158" s="11" t="inlineStr">
        <is>
          <t>NBR 13818, NBR 15463</t>
        </is>
      </c>
      <c r="H158" s="11" t="inlineStr">
        <is>
          <t>linha, formato e PEI: o modelo define o TIPO por ambiente, a linha e escolha de acabamento</t>
        </is>
      </c>
      <c r="I158" s="18" t="inlineStr">
        <is>
          <t>sim</t>
        </is>
      </c>
    </row>
    <row r="159">
      <c r="A159" s="9" t="inlineStr">
        <is>
          <t>LOU-VASO</t>
        </is>
      </c>
      <c r="B159" s="10" t="inlineStr">
        <is>
          <t>loucas</t>
        </is>
      </c>
      <c r="C159" s="11" t="inlineStr">
        <is>
          <t>Bacia sanitaria com caixa acoplada</t>
        </is>
      </c>
      <c r="D159" s="10" t="inlineStr">
        <is>
          <t>un</t>
        </is>
      </c>
      <c r="E159" s="14" t="n">
        <v>5</v>
      </c>
      <c r="F159" s="11" t="inlineStr">
        <is>
          <t>louca / metal sanitario de linha comercial, cor branca para louca e acabamento cromado para metal; quantidade contada das pecas LOCADAS em planta, nao estimada por comodo</t>
        </is>
      </c>
      <c r="G159" s="11" t="inlineStr">
        <is>
          <t>NBR 15097, NBR 15705</t>
        </is>
      </c>
      <c r="H159" s="11" t="inlineStr">
        <is>
          <t>linha e fabricante: louca e metal sao decisao de acabamento do proprietario, e a mesma peca varia 3x de preco entre linhas</t>
        </is>
      </c>
      <c r="I159" s="18" t="inlineStr">
        <is>
          <t>sim</t>
        </is>
      </c>
    </row>
    <row r="160">
      <c r="A160" s="9" t="inlineStr">
        <is>
          <t>LUM-LINEAR</t>
        </is>
      </c>
      <c r="B160" s="10" t="inlineStr">
        <is>
          <t>eletrica</t>
        </is>
      </c>
      <c r="C160" s="11" t="inlineStr">
        <is>
          <t>Perfil linear LED 18 W/m com difusor (tarefa)</t>
        </is>
      </c>
      <c r="D160" s="10" t="inlineStr">
        <is>
          <t>m</t>
        </is>
      </c>
      <c r="E160" s="14" t="n">
        <v>15.6</v>
      </c>
      <c r="F16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60" s="11" t="inlineStr">
        <is>
          <t>NBR ISO/CIE 8995-1, Portaria INMETRO 20/2017 (LED)</t>
        </is>
      </c>
      <c r="H160" s="11" t="inlineStr">
        <is>
          <t>marca e modelo: o fluxo e a potencia de cada tipo estao declarados; o produto e escolha de acabamento</t>
        </is>
      </c>
      <c r="I160" s="18" t="inlineStr">
        <is>
          <t>sim</t>
        </is>
      </c>
    </row>
    <row r="161">
      <c r="A161" s="9" t="inlineStr">
        <is>
          <t>MET-TORN</t>
        </is>
      </c>
      <c r="B161" s="10" t="inlineStr">
        <is>
          <t>loucas</t>
        </is>
      </c>
      <c r="C161" s="11" t="inlineStr">
        <is>
          <t>Torneira de bancada (lavatorio e cuba)</t>
        </is>
      </c>
      <c r="D161" s="10" t="inlineStr">
        <is>
          <t>un</t>
        </is>
      </c>
      <c r="E161" s="14" t="n">
        <v>9</v>
      </c>
      <c r="F161" s="11" t="inlineStr">
        <is>
          <t>louca / metal sanitario de linha comercial, cor branca para louca e acabamento cromado para metal; quantidade contada das pecas LOCADAS em planta, nao estimada por comodo</t>
        </is>
      </c>
      <c r="G161" s="11" t="inlineStr">
        <is>
          <t>NBR 15097, NBR 15705</t>
        </is>
      </c>
      <c r="H161" s="11" t="inlineStr">
        <is>
          <t>linha e fabricante: louca e metal sao decisao de acabamento do proprietario, e a mesma peca varia 3x de preco entre linhas</t>
        </is>
      </c>
      <c r="I161" s="18" t="inlineStr">
        <is>
          <t>sim</t>
        </is>
      </c>
    </row>
    <row r="162">
      <c r="A162" s="9" t="inlineStr">
        <is>
          <t>SPD-ANEL</t>
        </is>
      </c>
      <c r="B162" s="10" t="inlineStr">
        <is>
          <t>eletrica</t>
        </is>
      </c>
      <c r="C162" s="11" t="inlineStr">
        <is>
          <t>Anel de aterramento: cobre nu 50 mm2 no perimetro do radier</t>
        </is>
      </c>
      <c r="D162" s="10" t="inlineStr">
        <is>
          <t>m</t>
        </is>
      </c>
      <c r="E162" s="14" t="n">
        <v>63.6</v>
      </c>
      <c r="F162" s="11" t="inlineStr">
        <is>
          <t>SPDA conforme NBR 5419-3, classe IV: captor em anel no perimetro da cobertura, descidas naturais pela estrutura de aco com continuidade ensaiada, anel de aterramento no radier</t>
        </is>
      </c>
      <c r="G162" s="11" t="inlineStr">
        <is>
          <t>NBR 5410, NBR 5419-3, NBR 5419-4</t>
        </is>
      </c>
      <c r="H162" s="11" t="inlineStr">
        <is>
          <t>laudo de continuidade eletrica da estrutura e medicao de resistencia de aterramento apos a execucao</t>
        </is>
      </c>
      <c r="I162" s="18" t="inlineStr">
        <is>
          <t>sim</t>
        </is>
      </c>
    </row>
    <row r="163">
      <c r="A163" s="9" t="inlineStr">
        <is>
          <t>REV-FORRO-ACUST</t>
        </is>
      </c>
      <c r="B163" s="10" t="inlineStr">
        <is>
          <t>revestimento</t>
        </is>
      </c>
      <c r="C163" s="11" t="inlineStr">
        <is>
          <t>Forro absorvente perfurado (alfa 0,70), acabado de fabrica</t>
        </is>
      </c>
      <c r="D163" s="10" t="inlineStr">
        <is>
          <t>m2</t>
        </is>
      </c>
      <c r="E163" s="14" t="n">
        <v>30.2</v>
      </c>
      <c r="F163" s="11" t="inlineStr">
        <is>
          <t>revestimento ceramico conforme quadro de acabamentos por ambiente; area ja com 10 % de perda de corte e quebra</t>
        </is>
      </c>
      <c r="G163" s="11" t="inlineStr">
        <is>
          <t>NBR 13818, NBR 15463</t>
        </is>
      </c>
      <c r="H163" s="11" t="inlineStr">
        <is>
          <t>linha, formato e PEI: o modelo define o TIPO por ambiente, a linha e escolha de acabamento</t>
        </is>
      </c>
      <c r="I163" s="18" t="inlineStr">
        <is>
          <t>sim</t>
        </is>
      </c>
    </row>
    <row r="164">
      <c r="A164" s="9" t="inlineStr">
        <is>
          <t>MAR-PAINEL</t>
        </is>
      </c>
      <c r="B164" s="10" t="inlineStr">
        <is>
          <t>marcenaria</t>
        </is>
      </c>
      <c r="C164" s="11" t="inlineStr">
        <is>
          <t>Painel ripado de TV</t>
        </is>
      </c>
      <c r="D164" s="10" t="inlineStr">
        <is>
          <t>m2</t>
        </is>
      </c>
      <c r="E164" s="14" t="n">
        <v>6.71</v>
      </c>
      <c r="F164" s="11" t="inlineStr">
        <is>
          <t>marcenaria sob medida conforme planta de layout; MDF 18 mm com acabamento em laminado ou pintura PU; ferragem com amortecedor</t>
        </is>
      </c>
      <c r="G164" s="11" t="inlineStr"/>
      <c r="H164" s="11" t="inlineStr">
        <is>
          <t>desenho executivo de marcenaria: a planta da a extensao e a profundidade, nao o interior do movel</t>
        </is>
      </c>
      <c r="I164" s="18" t="inlineStr">
        <is>
          <t>sim</t>
        </is>
      </c>
    </row>
    <row r="165">
      <c r="A165" s="9" t="inlineStr">
        <is>
          <t>EQP-PISC</t>
        </is>
      </c>
      <c r="B165" s="10" t="inlineStr">
        <is>
          <t>equipamentos</t>
        </is>
      </c>
      <c r="C165" s="11" t="inlineStr">
        <is>
          <t>Conjunto da piscina: bomba, filtro e tratamento</t>
        </is>
      </c>
      <c r="D165" s="10" t="inlineStr">
        <is>
          <t>cj</t>
        </is>
      </c>
      <c r="E165" s="14" t="n">
        <v>1</v>
      </c>
      <c r="F165" s="11" t="inlineStr">
        <is>
          <t>equipamento novo, com garantia de fabrica e instalacao por credenciado</t>
        </is>
      </c>
      <c r="G165" s="11" t="inlineStr"/>
      <c r="H165" s="11" t="inlineStr">
        <is>
          <t>marca e modelo: a capacidade esta dimensionada, a escolha do equipamento e do proprietario</t>
        </is>
      </c>
      <c r="I165" s="18" t="inlineStr">
        <is>
          <t>sim</t>
        </is>
      </c>
    </row>
    <row r="166">
      <c r="A166" s="9" t="inlineStr">
        <is>
          <t>LOU-LAV</t>
        </is>
      </c>
      <c r="B166" s="10" t="inlineStr">
        <is>
          <t>loucas</t>
        </is>
      </c>
      <c r="C166" s="11" t="inlineStr">
        <is>
          <t>Lavatorio / cuba de banheiro</t>
        </is>
      </c>
      <c r="D166" s="10" t="inlineStr">
        <is>
          <t>un</t>
        </is>
      </c>
      <c r="E166" s="14" t="n">
        <v>6</v>
      </c>
      <c r="F166" s="11" t="inlineStr">
        <is>
          <t>louca / metal sanitario de linha comercial, cor branca para louca e acabamento cromado para metal; quantidade contada das pecas LOCADAS em planta, nao estimada por comodo</t>
        </is>
      </c>
      <c r="G166" s="11" t="inlineStr">
        <is>
          <t>NBR 15097, NBR 15705</t>
        </is>
      </c>
      <c r="H166" s="11" t="inlineStr">
        <is>
          <t>linha e fabricante: louca e metal sao decisao de acabamento do proprietario, e a mesma peca varia 3x de preco entre linhas</t>
        </is>
      </c>
      <c r="I166" s="18" t="inlineStr">
        <is>
          <t>sim</t>
        </is>
      </c>
    </row>
    <row r="167">
      <c r="A167" s="9" t="inlineStr">
        <is>
          <t>ELE-TUG</t>
        </is>
      </c>
      <c r="B167" s="10" t="inlineStr">
        <is>
          <t>eletrica</t>
        </is>
      </c>
      <c r="C167" s="11" t="inlineStr">
        <is>
          <t>Tomada 2P+T 10 A com placa</t>
        </is>
      </c>
      <c r="D167" s="10" t="inlineStr">
        <is>
          <t>un</t>
        </is>
      </c>
      <c r="E167" s="14" t="n">
        <v>87</v>
      </c>
      <c r="F167" s="11" t="inlineStr">
        <is>
          <t>dispositivo de embutir em caixa 4x2 / 4x4, linha unica em toda a casa; tensao 127 V para TUG e 220 V para TUE, conforme esquema declarado no projeto</t>
        </is>
      </c>
      <c r="G167" s="11" t="inlineStr">
        <is>
          <t>NBR 14136, NBR 5410</t>
        </is>
      </c>
      <c r="H167" s="11" t="inlineStr"/>
      <c r="I167" s="18" t="inlineStr">
        <is>
          <t>sim</t>
        </is>
      </c>
    </row>
    <row r="168">
      <c r="A168" s="9" t="inlineStr">
        <is>
          <t>EQP-PORTAO</t>
        </is>
      </c>
      <c r="B168" s="10" t="inlineStr">
        <is>
          <t>equipamentos</t>
        </is>
      </c>
      <c r="C168" s="11" t="inlineStr">
        <is>
          <t>Automatizador de portao de correr</t>
        </is>
      </c>
      <c r="D168" s="10" t="inlineStr">
        <is>
          <t>un</t>
        </is>
      </c>
      <c r="E168" s="14" t="n">
        <v>1</v>
      </c>
      <c r="F168" s="11" t="inlineStr">
        <is>
          <t>equipamento novo, com garantia de fabrica e instalacao por credenciado</t>
        </is>
      </c>
      <c r="G168" s="11" t="inlineStr"/>
      <c r="H168" s="11" t="inlineStr">
        <is>
          <t>marca e modelo: a capacidade esta dimensionada, a escolha do equipamento e do proprietario</t>
        </is>
      </c>
      <c r="I168" s="18" t="inlineStr">
        <is>
          <t>sim</t>
        </is>
      </c>
    </row>
    <row r="169">
      <c r="A169" s="9" t="inlineStr">
        <is>
          <t>MET-ACESS</t>
        </is>
      </c>
      <c r="B169" s="10" t="inlineStr">
        <is>
          <t>loucas</t>
        </is>
      </c>
      <c r="C169" s="11" t="inlineStr">
        <is>
          <t>Acessorios (papeleira, cabide, saboneteira, toalheiro)</t>
        </is>
      </c>
      <c r="D169" s="10" t="inlineStr">
        <is>
          <t>un</t>
        </is>
      </c>
      <c r="E169" s="14" t="n">
        <v>28</v>
      </c>
      <c r="F169" s="11" t="inlineStr">
        <is>
          <t>louca / metal sanitario de linha comercial, cor branca para louca e acabamento cromado para metal; quantidade contada das pecas LOCADAS em planta, nao estimada por comodo</t>
        </is>
      </c>
      <c r="G169" s="11" t="inlineStr">
        <is>
          <t>NBR 15097, NBR 15705</t>
        </is>
      </c>
      <c r="H169" s="11" t="inlineStr">
        <is>
          <t>linha e fabricante: louca e metal sao decisao de acabamento do proprietario, e a mesma peca varia 3x de preco entre linhas</t>
        </is>
      </c>
      <c r="I169" s="18" t="inlineStr">
        <is>
          <t>sim</t>
        </is>
      </c>
    </row>
    <row r="170">
      <c r="A170" s="9" t="inlineStr">
        <is>
          <t>PIN-SELADOR</t>
        </is>
      </c>
      <c r="B170" s="10" t="inlineStr">
        <is>
          <t>pintura</t>
        </is>
      </c>
      <c r="C170" s="11" t="inlineStr">
        <is>
          <t>Selador acrilico</t>
        </is>
      </c>
      <c r="D170" s="10" t="inlineStr">
        <is>
          <t>L</t>
        </is>
      </c>
      <c r="E170" s="14" t="n">
        <v>80.7</v>
      </c>
      <c r="F170" s="11" t="inlineStr">
        <is>
          <t>tinta e mao de obra conforme especificacao de acabamento; 2 demaos sobre selador; rendimento declarado na quantidade</t>
        </is>
      </c>
      <c r="G170" s="11" t="inlineStr">
        <is>
          <t>NBR 11702, NBR 13245</t>
        </is>
      </c>
      <c r="H170" s="11" t="inlineStr"/>
      <c r="I170" s="18" t="inlineStr">
        <is>
          <t>sim</t>
        </is>
      </c>
    </row>
    <row r="171">
      <c r="A171" s="9" t="inlineStr">
        <is>
          <t>LOU-CUBA</t>
        </is>
      </c>
      <c r="B171" s="10" t="inlineStr">
        <is>
          <t>loucas</t>
        </is>
      </c>
      <c r="C171" s="11" t="inlineStr">
        <is>
          <t>Cuba de cozinha / gourmet / lavanderia em inox</t>
        </is>
      </c>
      <c r="D171" s="10" t="inlineStr">
        <is>
          <t>un</t>
        </is>
      </c>
      <c r="E171" s="14" t="n">
        <v>3</v>
      </c>
      <c r="F171" s="11" t="inlineStr">
        <is>
          <t>louca / metal sanitario de linha comercial, cor branca para louca e acabamento cromado para metal; quantidade contada das pecas LOCADAS em planta, nao estimada por comodo</t>
        </is>
      </c>
      <c r="G171" s="11" t="inlineStr">
        <is>
          <t>NBR 15097, NBR 15705</t>
        </is>
      </c>
      <c r="H171" s="11" t="inlineStr">
        <is>
          <t>linha e fabricante: louca e metal sao decisao de acabamento do proprietario, e a mesma peca varia 3x de preco entre linhas</t>
        </is>
      </c>
      <c r="I171" s="18" t="inlineStr">
        <is>
          <t>sim</t>
        </is>
      </c>
    </row>
    <row r="172">
      <c r="A172" s="9" t="inlineStr">
        <is>
          <t>EQP-EXAUST</t>
        </is>
      </c>
      <c r="B172" s="10" t="inlineStr">
        <is>
          <t>equipamentos</t>
        </is>
      </c>
      <c r="C172" s="11" t="inlineStr">
        <is>
          <t>Exaustor / coifa</t>
        </is>
      </c>
      <c r="D172" s="10" t="inlineStr">
        <is>
          <t>un</t>
        </is>
      </c>
      <c r="E172" s="14" t="n">
        <v>7</v>
      </c>
      <c r="F172" s="11" t="inlineStr">
        <is>
          <t>equipamento novo, com garantia de fabrica e instalacao por credenciado</t>
        </is>
      </c>
      <c r="G172" s="11" t="inlineStr"/>
      <c r="H172" s="11" t="inlineStr">
        <is>
          <t>marca e modelo: a capacidade esta dimensionada, a escolha do equipamento e do proprietario</t>
        </is>
      </c>
      <c r="I172" s="18" t="inlineStr">
        <is>
          <t>sim</t>
        </is>
      </c>
    </row>
    <row r="173">
      <c r="A173" s="9" t="inlineStr">
        <is>
          <t>FV-HOMOLOG</t>
        </is>
      </c>
      <c r="B173" s="10" t="inlineStr">
        <is>
          <t>eletrica</t>
        </is>
      </c>
      <c r="C173" s="11" t="inlineStr">
        <is>
          <t>Projeto e homologacao na concessionaria (REN 1.000)</t>
        </is>
      </c>
      <c r="D173" s="10" t="inlineStr">
        <is>
          <t>un</t>
        </is>
      </c>
      <c r="E173" s="14" t="n">
        <v>1</v>
      </c>
      <c r="F173" s="11" t="inlineStr">
        <is>
          <t>sistema fotovoltaico conectado a rede (on-grid), microgeracao REN ANEEL 1.000/2021; modulos monocristalinos, inversor string trifasico com monitoramento</t>
        </is>
      </c>
      <c r="G173" s="11" t="inlineStr">
        <is>
          <t>NBR 16274, NBR 16690, Portaria INMETRO 140/2022</t>
        </is>
      </c>
      <c r="H173" s="11" t="inlineStr">
        <is>
          <t>marca e modelo de modulo e inversor; a potencia e a area estao dimensionadas, o produto e cotacao</t>
        </is>
      </c>
      <c r="I173" s="18" t="inlineStr">
        <is>
          <t>sim</t>
        </is>
      </c>
    </row>
    <row r="174">
      <c r="A174" s="9" t="inlineStr">
        <is>
          <t>LUM-SOBREPOR24</t>
        </is>
      </c>
      <c r="B174" s="10" t="inlineStr">
        <is>
          <t>eletrica</t>
        </is>
      </c>
      <c r="C174" s="11" t="inlineStr">
        <is>
          <t>Plafon LED de sobrepor 24 W</t>
        </is>
      </c>
      <c r="D174" s="10" t="inlineStr">
        <is>
          <t>un</t>
        </is>
      </c>
      <c r="E174" s="14" t="n">
        <v>10</v>
      </c>
      <c r="F174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74" s="11" t="inlineStr">
        <is>
          <t>NBR ISO/CIE 8995-1, Portaria INMETRO 20/2017 (LED)</t>
        </is>
      </c>
      <c r="H174" s="11" t="inlineStr">
        <is>
          <t>marca e modelo: o fluxo e a potencia de cada tipo estao declarados; o produto e escolha de acabamento</t>
        </is>
      </c>
      <c r="I174" s="18" t="inlineStr">
        <is>
          <t>sim</t>
        </is>
      </c>
    </row>
    <row r="175">
      <c r="A175" s="9" t="inlineStr">
        <is>
          <t>REV-NICHO</t>
        </is>
      </c>
      <c r="B175" s="10" t="inlineStr">
        <is>
          <t>loucas</t>
        </is>
      </c>
      <c r="C175" s="11" t="inlineStr">
        <is>
          <t>Nicho de box 300 x 900 mm entre montantes (RU + ceramica)</t>
        </is>
      </c>
      <c r="D175" s="10" t="inlineStr">
        <is>
          <t>un</t>
        </is>
      </c>
      <c r="E175" s="14" t="n">
        <v>4</v>
      </c>
      <c r="F175" s="11" t="inlineStr">
        <is>
          <t>revestimento ceramico conforme quadro de acabamentos por ambiente; area ja com 10 % de perda de corte e quebra</t>
        </is>
      </c>
      <c r="G175" s="11" t="inlineStr">
        <is>
          <t>NBR 13818, NBR 15463</t>
        </is>
      </c>
      <c r="H175" s="11" t="inlineStr">
        <is>
          <t>linha, formato e PEI: o modelo define o TIPO por ambiente, a linha e escolha de acabamento</t>
        </is>
      </c>
      <c r="I175" s="18" t="inlineStr">
        <is>
          <t>sim</t>
        </is>
      </c>
    </row>
    <row r="176">
      <c r="A176" s="9" t="inlineStr">
        <is>
          <t>MET-REG</t>
        </is>
      </c>
      <c r="B176" s="10" t="inlineStr">
        <is>
          <t>loucas</t>
        </is>
      </c>
      <c r="C176" s="11" t="inlineStr">
        <is>
          <t>Registro de gaveta e de pressao</t>
        </is>
      </c>
      <c r="D176" s="10" t="inlineStr">
        <is>
          <t>un</t>
        </is>
      </c>
      <c r="E176" s="14" t="n">
        <v>14</v>
      </c>
      <c r="F176" s="11" t="inlineStr">
        <is>
          <t>louca / metal sanitario de linha comercial, cor branca para louca e acabamento cromado para metal; quantidade contada das pecas LOCADAS em planta, nao estimada por comodo</t>
        </is>
      </c>
      <c r="G176" s="11" t="inlineStr">
        <is>
          <t>NBR 15097, NBR 15705</t>
        </is>
      </c>
      <c r="H176" s="11" t="inlineStr">
        <is>
          <t>linha e fabricante: louca e metal sao decisao de acabamento do proprietario, e a mesma peca varia 3x de preco entre linhas</t>
        </is>
      </c>
      <c r="I176" s="18" t="inlineStr">
        <is>
          <t>sim</t>
        </is>
      </c>
    </row>
    <row r="177">
      <c r="A177" s="9" t="inlineStr">
        <is>
          <t>MET-CHUV</t>
        </is>
      </c>
      <c r="B177" s="10" t="inlineStr">
        <is>
          <t>loucas</t>
        </is>
      </c>
      <c r="C177" s="11" t="inlineStr">
        <is>
          <t>Chuveiro eletrico 220 V</t>
        </is>
      </c>
      <c r="D177" s="10" t="inlineStr">
        <is>
          <t>un</t>
        </is>
      </c>
      <c r="E177" s="14" t="n">
        <v>4</v>
      </c>
      <c r="F177" s="11" t="inlineStr">
        <is>
          <t>louca / metal sanitario de linha comercial, cor branca para louca e acabamento cromado para metal; quantidade contada das pecas LOCADAS em planta, nao estimada por comodo</t>
        </is>
      </c>
      <c r="G177" s="11" t="inlineStr">
        <is>
          <t>NBR 15097, NBR 15705</t>
        </is>
      </c>
      <c r="H177" s="11" t="inlineStr">
        <is>
          <t>linha e fabricante: louca e metal sao decisao de acabamento do proprietario, e a mesma peca varia 3x de preco entre linhas</t>
        </is>
      </c>
      <c r="I177" s="18" t="inlineStr">
        <is>
          <t>sim</t>
        </is>
      </c>
    </row>
    <row r="178">
      <c r="A178" s="9" t="inlineStr">
        <is>
          <t>ELE-DR</t>
        </is>
      </c>
      <c r="B178" s="10" t="inlineStr">
        <is>
          <t>eletrica</t>
        </is>
      </c>
      <c r="C178" s="11" t="inlineStr">
        <is>
          <t>Disjuntor diferencial residual 30 mA</t>
        </is>
      </c>
      <c r="D178" s="10" t="inlineStr">
        <is>
          <t>un</t>
        </is>
      </c>
      <c r="E178" s="14" t="n">
        <v>6</v>
      </c>
      <c r="F178" s="11" t="inlineStr">
        <is>
          <t>dispositivo de embutir em caixa 4x2 / 4x4, linha unica em toda a casa; tensao 127 V para TUG e 220 V para TUE, conforme esquema declarado no projeto</t>
        </is>
      </c>
      <c r="G178" s="11" t="inlineStr">
        <is>
          <t>NBR 14136, NBR 5410</t>
        </is>
      </c>
      <c r="H178" s="11" t="inlineStr"/>
      <c r="I178" s="18" t="inlineStr">
        <is>
          <t>sim</t>
        </is>
      </c>
    </row>
    <row r="179">
      <c r="A179" s="9" t="inlineStr">
        <is>
          <t>MET-DUCHA</t>
        </is>
      </c>
      <c r="B179" s="10" t="inlineStr">
        <is>
          <t>loucas</t>
        </is>
      </c>
      <c r="C179" s="11" t="inlineStr">
        <is>
          <t>Ducha higienica com registro</t>
        </is>
      </c>
      <c r="D179" s="10" t="inlineStr">
        <is>
          <t>un</t>
        </is>
      </c>
      <c r="E179" s="14" t="n">
        <v>5</v>
      </c>
      <c r="F179" s="11" t="inlineStr">
        <is>
          <t>louca / metal sanitario de linha comercial, cor branca para louca e acabamento cromado para metal; quantidade contada das pecas LOCADAS em planta, nao estimada por comodo</t>
        </is>
      </c>
      <c r="G179" s="11" t="inlineStr">
        <is>
          <t>NBR 15097, NBR 15705</t>
        </is>
      </c>
      <c r="H179" s="11" t="inlineStr">
        <is>
          <t>linha e fabricante: louca e metal sao decisao de acabamento do proprietario, e a mesma peca varia 3x de preco entre linhas</t>
        </is>
      </c>
      <c r="I179" s="18" t="inlineStr">
        <is>
          <t>sim</t>
        </is>
      </c>
    </row>
    <row r="180">
      <c r="A180" s="9" t="inlineStr">
        <is>
          <t>SPD-DESCIDA</t>
        </is>
      </c>
      <c r="B180" s="10" t="inlineStr">
        <is>
          <t>eletrica</t>
        </is>
      </c>
      <c r="C180" s="11" t="inlineStr">
        <is>
          <t>Descida natural pela estrutura LSF: conector de teste e ligacao</t>
        </is>
      </c>
      <c r="D180" s="10" t="inlineStr">
        <is>
          <t>un</t>
        </is>
      </c>
      <c r="E180" s="14" t="n">
        <v>4</v>
      </c>
      <c r="F180" s="11" t="inlineStr">
        <is>
          <t>SPDA conforme NBR 5419-3, classe IV: captor em anel no perimetro da cobertura, descidas naturais pela estrutura de aco com continuidade ensaiada, anel de aterramento no radier</t>
        </is>
      </c>
      <c r="G180" s="11" t="inlineStr">
        <is>
          <t>NBR 5410, NBR 5419-3, NBR 5419-4</t>
        </is>
      </c>
      <c r="H180" s="11" t="inlineStr">
        <is>
          <t>laudo de continuidade eletrica da estrutura e medicao de resistencia de aterramento apos a execucao</t>
        </is>
      </c>
      <c r="I180" s="18" t="inlineStr">
        <is>
          <t>sim</t>
        </is>
      </c>
    </row>
    <row r="181">
      <c r="A181" s="9" t="inlineStr">
        <is>
          <t>LUM-ARANDELA</t>
        </is>
      </c>
      <c r="B181" s="10" t="inlineStr">
        <is>
          <t>eletrica</t>
        </is>
      </c>
      <c r="C181" s="11" t="inlineStr">
        <is>
          <t>Arandela LED IP44 de espelho, 8 W</t>
        </is>
      </c>
      <c r="D181" s="10" t="inlineStr">
        <is>
          <t>un</t>
        </is>
      </c>
      <c r="E181" s="14" t="n">
        <v>6</v>
      </c>
      <c r="F18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81" s="11" t="inlineStr">
        <is>
          <t>NBR ISO/CIE 8995-1, Portaria INMETRO 20/2017 (LED)</t>
        </is>
      </c>
      <c r="H181" s="11" t="inlineStr">
        <is>
          <t>marca e modelo: o fluxo e a potencia de cada tipo estao declarados; o produto e escolha de acabamento</t>
        </is>
      </c>
      <c r="I181" s="18" t="inlineStr">
        <is>
          <t>sim</t>
        </is>
      </c>
    </row>
    <row r="182">
      <c r="A182" s="9" t="inlineStr">
        <is>
          <t>SPD-DPS1</t>
        </is>
      </c>
      <c r="B182" s="10" t="inlineStr">
        <is>
          <t>eletrica</t>
        </is>
      </c>
      <c r="C182" s="11" t="inlineStr">
        <is>
          <t>DPS classe I, 12,5 kA, 3F+N, na entrada</t>
        </is>
      </c>
      <c r="D182" s="10" t="inlineStr">
        <is>
          <t>un</t>
        </is>
      </c>
      <c r="E182" s="14" t="n">
        <v>1</v>
      </c>
      <c r="F182" s="11" t="inlineStr">
        <is>
          <t>SPDA conforme NBR 5419-3, classe IV: captor em anel no perimetro da cobertura, descidas naturais pela estrutura de aco com continuidade ensaiada, anel de aterramento no radier</t>
        </is>
      </c>
      <c r="G182" s="11" t="inlineStr">
        <is>
          <t>NBR 5410, NBR 5419-3, NBR 5419-4</t>
        </is>
      </c>
      <c r="H182" s="11" t="inlineStr">
        <is>
          <t>laudo de continuidade eletrica da estrutura e medicao de resistencia de aterramento apos a execucao</t>
        </is>
      </c>
      <c r="I182" s="18" t="inlineStr">
        <is>
          <t>sim</t>
        </is>
      </c>
    </row>
    <row r="183">
      <c r="A183" s="9" t="inlineStr">
        <is>
          <t>MET-DUCHA-TETO</t>
        </is>
      </c>
      <c r="B183" s="10" t="inlineStr">
        <is>
          <t>loucas</t>
        </is>
      </c>
      <c r="C183" s="11" t="inlineStr">
        <is>
          <t>Ducha de teto 250 mm com desviador (box &gt;= 1.400)</t>
        </is>
      </c>
      <c r="D183" s="10" t="inlineStr">
        <is>
          <t>un</t>
        </is>
      </c>
      <c r="E183" s="14" t="n">
        <v>1</v>
      </c>
      <c r="F183" s="11" t="inlineStr">
        <is>
          <t>louca / metal sanitario de linha comercial, cor branca para louca e acabamento cromado para metal; quantidade contada das pecas LOCADAS em planta, nao estimada por comodo</t>
        </is>
      </c>
      <c r="G183" s="11" t="inlineStr">
        <is>
          <t>NBR 15097, NBR 15705</t>
        </is>
      </c>
      <c r="H183" s="11" t="inlineStr">
        <is>
          <t>linha e fabricante: louca e metal sao decisao de acabamento do proprietario, e a mesma peca varia 3x de preco entre linhas</t>
        </is>
      </c>
      <c r="I183" s="18" t="inlineStr">
        <is>
          <t>sim</t>
        </is>
      </c>
    </row>
    <row r="184">
      <c r="A184" s="9" t="inlineStr">
        <is>
          <t>ELE-INT</t>
        </is>
      </c>
      <c r="B184" s="10" t="inlineStr">
        <is>
          <t>eletrica</t>
        </is>
      </c>
      <c r="C184" s="11" t="inlineStr">
        <is>
          <t>Interruptor simples e paralelo com placa</t>
        </is>
      </c>
      <c r="D184" s="10" t="inlineStr">
        <is>
          <t>un</t>
        </is>
      </c>
      <c r="E184" s="14" t="n">
        <v>27</v>
      </c>
      <c r="F184" s="11" t="inlineStr">
        <is>
          <t>dispositivo de embutir em caixa 4x2 / 4x4, linha unica em toda a casa; tensao 127 V para TUG e 220 V para TUE, conforme esquema declarado no projeto</t>
        </is>
      </c>
      <c r="G184" s="11" t="inlineStr">
        <is>
          <t>NBR 14136, NBR 5410</t>
        </is>
      </c>
      <c r="H184" s="11" t="inlineStr"/>
      <c r="I184" s="18" t="inlineStr">
        <is>
          <t>sim</t>
        </is>
      </c>
    </row>
    <row r="185">
      <c r="A185" s="9" t="inlineStr">
        <is>
          <t>LUM-PENDENTE40</t>
        </is>
      </c>
      <c r="B185" s="10" t="inlineStr">
        <is>
          <t>eletrica</t>
        </is>
      </c>
      <c r="C185" s="11" t="inlineStr">
        <is>
          <t>Pendente LED de pe-direito duplo, 40 W</t>
        </is>
      </c>
      <c r="D185" s="10" t="inlineStr">
        <is>
          <t>un</t>
        </is>
      </c>
      <c r="E185" s="14" t="n">
        <v>2</v>
      </c>
      <c r="F185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85" s="11" t="inlineStr">
        <is>
          <t>NBR ISO/CIE 8995-1, Portaria INMETRO 20/2017 (LED)</t>
        </is>
      </c>
      <c r="H185" s="11" t="inlineStr">
        <is>
          <t>marca e modelo: o fluxo e a potencia de cada tipo estao declarados; o produto e escolha de acabamento</t>
        </is>
      </c>
      <c r="I185" s="18" t="inlineStr">
        <is>
          <t>sim</t>
        </is>
      </c>
    </row>
    <row r="186">
      <c r="A186" s="9" t="inlineStr">
        <is>
          <t>LOU-ASSENTO</t>
        </is>
      </c>
      <c r="B186" s="10" t="inlineStr">
        <is>
          <t>loucas</t>
        </is>
      </c>
      <c r="C186" s="11" t="inlineStr">
        <is>
          <t>Assento sanitario com amortecedor</t>
        </is>
      </c>
      <c r="D186" s="10" t="inlineStr">
        <is>
          <t>un</t>
        </is>
      </c>
      <c r="E186" s="14" t="n">
        <v>5</v>
      </c>
      <c r="F186" s="11" t="inlineStr">
        <is>
          <t>louca / metal sanitario de linha comercial, cor branca para louca e acabamento cromado para metal; quantidade contada das pecas LOCADAS em planta, nao estimada por comodo</t>
        </is>
      </c>
      <c r="G186" s="11" t="inlineStr">
        <is>
          <t>NBR 15097, NBR 15705</t>
        </is>
      </c>
      <c r="H186" s="11" t="inlineStr">
        <is>
          <t>linha e fabricante: louca e metal sao decisao de acabamento do proprietario, e a mesma peca varia 3x de preco entre linhas</t>
        </is>
      </c>
      <c r="I186" s="18" t="inlineStr">
        <is>
          <t>sim</t>
        </is>
      </c>
    </row>
    <row r="187">
      <c r="A187" s="9" t="inlineStr">
        <is>
          <t>ELE-TUE</t>
        </is>
      </c>
      <c r="B187" s="10" t="inlineStr">
        <is>
          <t>eletrica</t>
        </is>
      </c>
      <c r="C187" s="11" t="inlineStr">
        <is>
          <t>Tomada de uso especifico 20 A com placa</t>
        </is>
      </c>
      <c r="D187" s="10" t="inlineStr">
        <is>
          <t>un</t>
        </is>
      </c>
      <c r="E187" s="14" t="n">
        <v>25</v>
      </c>
      <c r="F187" s="11" t="inlineStr">
        <is>
          <t>dispositivo de embutir em caixa 4x2 / 4x4, linha unica em toda a casa; tensao 127 V para TUG e 220 V para TUE, conforme esquema declarado no projeto</t>
        </is>
      </c>
      <c r="G187" s="11" t="inlineStr">
        <is>
          <t>NBR 14136, NBR 5410</t>
        </is>
      </c>
      <c r="H187" s="11" t="inlineStr"/>
      <c r="I187" s="18" t="inlineStr">
        <is>
          <t>sim</t>
        </is>
      </c>
    </row>
    <row r="188">
      <c r="A188" s="9" t="inlineStr">
        <is>
          <t>FV-STRINGBOX</t>
        </is>
      </c>
      <c r="B188" s="10" t="inlineStr">
        <is>
          <t>eletrica</t>
        </is>
      </c>
      <c r="C188" s="11" t="inlineStr">
        <is>
          <t>String box CC com DPS e seccionadora</t>
        </is>
      </c>
      <c r="D188" s="10" t="inlineStr">
        <is>
          <t>un</t>
        </is>
      </c>
      <c r="E188" s="14" t="n">
        <v>1</v>
      </c>
      <c r="F188" s="11" t="inlineStr">
        <is>
          <t>sistema fotovoltaico conectado a rede (on-grid), microgeracao REN ANEEL 1.000/2021; modulos monocristalinos, inversor string trifasico com monitoramento</t>
        </is>
      </c>
      <c r="G188" s="11" t="inlineStr">
        <is>
          <t>NBR 16274, NBR 16690, Portaria INMETRO 140/2022</t>
        </is>
      </c>
      <c r="H188" s="11" t="inlineStr">
        <is>
          <t>marca e modelo de modulo e inversor; a potencia e a area estao dimensionadas, o produto e cotacao</t>
        </is>
      </c>
      <c r="I188" s="18" t="inlineStr">
        <is>
          <t>sim</t>
        </is>
      </c>
    </row>
    <row r="189">
      <c r="A189" s="9" t="inlineStr">
        <is>
          <t>SPD-ENSAIO</t>
        </is>
      </c>
      <c r="B189" s="10" t="inlineStr">
        <is>
          <t>eletrica</t>
        </is>
      </c>
      <c r="C189" s="11" t="inlineStr">
        <is>
          <t>Ensaio de continuidade e resistencia de aterramento</t>
        </is>
      </c>
      <c r="D189" s="10" t="inlineStr">
        <is>
          <t>un</t>
        </is>
      </c>
      <c r="E189" s="14" t="n">
        <v>1</v>
      </c>
      <c r="F189" s="11" t="inlineStr">
        <is>
          <t>SPDA conforme NBR 5419-3, classe IV: captor em anel no perimetro da cobertura, descidas naturais pela estrutura de aco com continuidade ensaiada, anel de aterramento no radier</t>
        </is>
      </c>
      <c r="G189" s="11" t="inlineStr">
        <is>
          <t>NBR 5410, NBR 5419-3, NBR 5419-4</t>
        </is>
      </c>
      <c r="H189" s="11" t="inlineStr">
        <is>
          <t>laudo de continuidade eletrica da estrutura e medicao de resistencia de aterramento apos a execucao</t>
        </is>
      </c>
      <c r="I189" s="18" t="inlineStr">
        <is>
          <t>sim</t>
        </is>
      </c>
    </row>
    <row r="190">
      <c r="A190" s="9" t="inlineStr">
        <is>
          <t>LOU-TANQUE</t>
        </is>
      </c>
      <c r="B190" s="10" t="inlineStr">
        <is>
          <t>loucas</t>
        </is>
      </c>
      <c r="C190" s="11" t="inlineStr">
        <is>
          <t>Tanque de lavanderia</t>
        </is>
      </c>
      <c r="D190" s="10" t="inlineStr">
        <is>
          <t>un</t>
        </is>
      </c>
      <c r="E190" s="14" t="n">
        <v>2</v>
      </c>
      <c r="F190" s="11" t="inlineStr">
        <is>
          <t>louca / metal sanitario de linha comercial, cor branca para louca e acabamento cromado para metal; quantidade contada das pecas LOCADAS em planta, nao estimada por comodo</t>
        </is>
      </c>
      <c r="G190" s="11" t="inlineStr">
        <is>
          <t>NBR 15097, NBR 15705</t>
        </is>
      </c>
      <c r="H190" s="11" t="inlineStr">
        <is>
          <t>linha e fabricante: louca e metal sao decisao de acabamento do proprietario, e a mesma peca varia 3x de preco entre linhas</t>
        </is>
      </c>
      <c r="I190" s="18" t="inlineStr">
        <is>
          <t>sim</t>
        </is>
      </c>
    </row>
    <row r="191">
      <c r="A191" s="9" t="inlineStr">
        <is>
          <t>MET-TORN-T</t>
        </is>
      </c>
      <c r="B191" s="10" t="inlineStr">
        <is>
          <t>loucas</t>
        </is>
      </c>
      <c r="C191" s="11" t="inlineStr">
        <is>
          <t>Torneira de tanque e de jardim</t>
        </is>
      </c>
      <c r="D191" s="10" t="inlineStr">
        <is>
          <t>un</t>
        </is>
      </c>
      <c r="E191" s="14" t="n">
        <v>4</v>
      </c>
      <c r="F191" s="11" t="inlineStr">
        <is>
          <t>louca / metal sanitario de linha comercial, cor branca para louca e acabamento cromado para metal; quantidade contada das pecas LOCADAS em planta, nao estimada por comodo</t>
        </is>
      </c>
      <c r="G191" s="11" t="inlineStr">
        <is>
          <t>NBR 15097, NBR 15705</t>
        </is>
      </c>
      <c r="H191" s="11" t="inlineStr">
        <is>
          <t>linha e fabricante: louca e metal sao decisao de acabamento do proprietario, e a mesma peca varia 3x de preco entre linhas</t>
        </is>
      </c>
      <c r="I191" s="18" t="inlineStr">
        <is>
          <t>sim</t>
        </is>
      </c>
    </row>
    <row r="192">
      <c r="A192" s="9" t="inlineStr">
        <is>
          <t>MET-ENGATE</t>
        </is>
      </c>
      <c r="B192" s="10" t="inlineStr">
        <is>
          <t>loucas</t>
        </is>
      </c>
      <c r="C192" s="11" t="inlineStr">
        <is>
          <t>Engate flexivel</t>
        </is>
      </c>
      <c r="D192" s="10" t="inlineStr">
        <is>
          <t>un</t>
        </is>
      </c>
      <c r="E192" s="14" t="n">
        <v>27</v>
      </c>
      <c r="F192" s="11" t="inlineStr">
        <is>
          <t>louca / metal sanitario de linha comercial, cor branca para louca e acabamento cromado para metal; quantidade contada das pecas LOCADAS em planta, nao estimada por comodo</t>
        </is>
      </c>
      <c r="G192" s="11" t="inlineStr">
        <is>
          <t>NBR 15097, NBR 15705</t>
        </is>
      </c>
      <c r="H192" s="11" t="inlineStr">
        <is>
          <t>linha e fabricante: louca e metal sao decisao de acabamento do proprietario, e a mesma peca varia 3x de preco entre linhas</t>
        </is>
      </c>
      <c r="I192" s="18" t="inlineStr">
        <is>
          <t>sim</t>
        </is>
      </c>
    </row>
    <row r="193">
      <c r="A193" s="9" t="inlineStr">
        <is>
          <t>FV-CABO</t>
        </is>
      </c>
      <c r="B193" s="10" t="inlineStr">
        <is>
          <t>eletrica</t>
        </is>
      </c>
      <c r="C193" s="11" t="inlineStr">
        <is>
          <t>Cabo solar 6 mm2 e eletroduto ate o inversor</t>
        </is>
      </c>
      <c r="D193" s="10" t="inlineStr">
        <is>
          <t>m</t>
        </is>
      </c>
      <c r="E193" s="14" t="n">
        <v>40.3</v>
      </c>
      <c r="F193" s="11" t="inlineStr">
        <is>
          <t>sistema fotovoltaico conectado a rede (on-grid), microgeracao REN ANEEL 1.000/2021; modulos monocristalinos, inversor string trifasico com monitoramento</t>
        </is>
      </c>
      <c r="G193" s="11" t="inlineStr">
        <is>
          <t>NBR 16274, NBR 16690, Portaria INMETRO 140/2022</t>
        </is>
      </c>
      <c r="H193" s="11" t="inlineStr">
        <is>
          <t>marca e modelo de modulo e inversor; a potencia e a area estao dimensionadas, o produto e cotacao</t>
        </is>
      </c>
      <c r="I193" s="18" t="inlineStr">
        <is>
          <t>sim</t>
        </is>
      </c>
    </row>
    <row r="194">
      <c r="A194" s="9" t="inlineStr">
        <is>
          <t>LUM-BALIZADOR</t>
        </is>
      </c>
      <c r="B194" s="10" t="inlineStr">
        <is>
          <t>eletrica</t>
        </is>
      </c>
      <c r="C194" s="11" t="inlineStr">
        <is>
          <t>Balizador LED de escada, 3 W</t>
        </is>
      </c>
      <c r="D194" s="10" t="inlineStr">
        <is>
          <t>un</t>
        </is>
      </c>
      <c r="E194" s="14" t="n">
        <v>6</v>
      </c>
      <c r="F194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94" s="11" t="inlineStr">
        <is>
          <t>NBR ISO/CIE 8995-1, Portaria INMETRO 20/2017 (LED)</t>
        </is>
      </c>
      <c r="H194" s="11" t="inlineStr">
        <is>
          <t>marca e modelo: o fluxo e a potencia de cada tipo estao declarados; o produto e escolha de acabamento</t>
        </is>
      </c>
      <c r="I194" s="18" t="inlineStr">
        <is>
          <t>sim</t>
        </is>
      </c>
    </row>
    <row r="195">
      <c r="A195" s="9" t="inlineStr">
        <is>
          <t>MET-VALV</t>
        </is>
      </c>
      <c r="B195" s="10" t="inlineStr">
        <is>
          <t>loucas</t>
        </is>
      </c>
      <c r="C195" s="11" t="inlineStr">
        <is>
          <t>Valvula de escoamento e de lavatorio</t>
        </is>
      </c>
      <c r="D195" s="10" t="inlineStr">
        <is>
          <t>un</t>
        </is>
      </c>
      <c r="E195" s="14" t="n">
        <v>11</v>
      </c>
      <c r="F195" s="11" t="inlineStr">
        <is>
          <t>louca / metal sanitario de linha comercial, cor branca para louca e acabamento cromado para metal; quantidade contada das pecas LOCADAS em planta, nao estimada por comodo</t>
        </is>
      </c>
      <c r="G195" s="11" t="inlineStr">
        <is>
          <t>NBR 15097, NBR 15705</t>
        </is>
      </c>
      <c r="H195" s="11" t="inlineStr">
        <is>
          <t>linha e fabricante: louca e metal sao decisao de acabamento do proprietario, e a mesma peca varia 3x de preco entre linhas</t>
        </is>
      </c>
      <c r="I195" s="18" t="inlineStr">
        <is>
          <t>sim</t>
        </is>
      </c>
    </row>
    <row r="196">
      <c r="A196" s="9" t="inlineStr">
        <is>
          <t>SPD-BEP</t>
        </is>
      </c>
      <c r="B196" s="10" t="inlineStr">
        <is>
          <t>eletrica</t>
        </is>
      </c>
      <c r="C196" s="11" t="inlineStr">
        <is>
          <t>Barramento de equipotencializacao principal</t>
        </is>
      </c>
      <c r="D196" s="10" t="inlineStr">
        <is>
          <t>un</t>
        </is>
      </c>
      <c r="E196" s="14" t="n">
        <v>1</v>
      </c>
      <c r="F196" s="11" t="inlineStr">
        <is>
          <t>SPDA conforme NBR 5419-3, classe IV: captor em anel no perimetro da cobertura, descidas naturais pela estrutura de aco com continuidade ensaiada, anel de aterramento no radier</t>
        </is>
      </c>
      <c r="G196" s="11" t="inlineStr">
        <is>
          <t>NBR 5410, NBR 5419-3, NBR 5419-4</t>
        </is>
      </c>
      <c r="H196" s="11" t="inlineStr">
        <is>
          <t>laudo de continuidade eletrica da estrutura e medicao de resistencia de aterramento apos a execucao</t>
        </is>
      </c>
      <c r="I196" s="18" t="inlineStr">
        <is>
          <t>sim</t>
        </is>
      </c>
    </row>
    <row r="197">
      <c r="A197" s="9" t="inlineStr">
        <is>
          <t>MET-SIFAO</t>
        </is>
      </c>
      <c r="B197" s="10" t="inlineStr">
        <is>
          <t>loucas</t>
        </is>
      </c>
      <c r="C197" s="11" t="inlineStr">
        <is>
          <t>Sifao flexivel</t>
        </is>
      </c>
      <c r="D197" s="10" t="inlineStr">
        <is>
          <t>un</t>
        </is>
      </c>
      <c r="E197" s="14" t="n">
        <v>11</v>
      </c>
      <c r="F197" s="11" t="inlineStr">
        <is>
          <t>louca / metal sanitario de linha comercial, cor branca para louca e acabamento cromado para metal; quantidade contada das pecas LOCADAS em planta, nao estimada por comodo</t>
        </is>
      </c>
      <c r="G197" s="11" t="inlineStr">
        <is>
          <t>NBR 15097, NBR 15705</t>
        </is>
      </c>
      <c r="H197" s="11" t="inlineStr">
        <is>
          <t>linha e fabricante: louca e metal sao decisao de acabamento do proprietario, e a mesma peca varia 3x de preco entre linhas</t>
        </is>
      </c>
      <c r="I197" s="18" t="inlineStr">
        <is>
          <t>sim</t>
        </is>
      </c>
    </row>
    <row r="198">
      <c r="A198" s="9" t="inlineStr">
        <is>
          <t>SPD-HASTE</t>
        </is>
      </c>
      <c r="B198" s="10" t="inlineStr">
        <is>
          <t>eletrica</t>
        </is>
      </c>
      <c r="C198" s="11" t="inlineStr">
        <is>
          <t>Haste de aterramento 5/8 x 2.400 mm</t>
        </is>
      </c>
      <c r="D198" s="10" t="inlineStr">
        <is>
          <t>un</t>
        </is>
      </c>
      <c r="E198" s="14" t="n">
        <v>4</v>
      </c>
      <c r="F198" s="11" t="inlineStr">
        <is>
          <t>SPDA conforme NBR 5419-3, classe IV: captor em anel no perimetro da cobertura, descidas naturais pela estrutura de aco com continuidade ensaiada, anel de aterramento no radier</t>
        </is>
      </c>
      <c r="G198" s="11" t="inlineStr">
        <is>
          <t>NBR 5410, NBR 5419-3, NBR 5419-4</t>
        </is>
      </c>
      <c r="H198" s="11" t="inlineStr">
        <is>
          <t>laudo de continuidade eletrica da estrutura e medicao de resistencia de aterramento apos a execucao</t>
        </is>
      </c>
      <c r="I198" s="18" t="inlineStr">
        <is>
          <t>sim</t>
        </is>
      </c>
    </row>
    <row r="199">
      <c r="A199" s="9" t="inlineStr">
        <is>
          <t>LUM-DOWNLIGHT12</t>
        </is>
      </c>
      <c r="B199" s="10" t="inlineStr">
        <is>
          <t>eletrica</t>
        </is>
      </c>
      <c r="C199" s="11" t="inlineStr">
        <is>
          <t>Downlight LED embutido 12 W</t>
        </is>
      </c>
      <c r="D199" s="10" t="inlineStr">
        <is>
          <t>un</t>
        </is>
      </c>
      <c r="E199" s="14" t="n">
        <v>4</v>
      </c>
      <c r="F19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99" s="11" t="inlineStr">
        <is>
          <t>NBR ISO/CIE 8995-1, Portaria INMETRO 20/2017 (LED)</t>
        </is>
      </c>
      <c r="H199" s="11" t="inlineStr">
        <is>
          <t>marca e modelo: o fluxo e a potencia de cada tipo estao declarados; o produto e escolha de acabamento</t>
        </is>
      </c>
      <c r="I199" s="18" t="inlineStr">
        <is>
          <t>sim</t>
        </is>
      </c>
    </row>
    <row r="200">
      <c r="A200" s="9" t="inlineStr">
        <is>
          <t>ELE-DPS</t>
        </is>
      </c>
      <c r="B200" s="10" t="inlineStr">
        <is>
          <t>eletrica</t>
        </is>
      </c>
      <c r="C200" s="11" t="inlineStr">
        <is>
          <t>Dispositivo de protecao contra surtos</t>
        </is>
      </c>
      <c r="D200" s="10" t="inlineStr">
        <is>
          <t>un</t>
        </is>
      </c>
      <c r="E200" s="14" t="n">
        <v>2</v>
      </c>
      <c r="F200" s="11" t="inlineStr">
        <is>
          <t>dispositivo de embutir em caixa 4x2 / 4x4, linha unica em toda a casa; tensao 127 V para TUG e 220 V para TUE, conforme esquema declarado no projeto</t>
        </is>
      </c>
      <c r="G200" s="11" t="inlineStr">
        <is>
          <t>NBR 14136, NBR 5410</t>
        </is>
      </c>
      <c r="H200" s="11" t="inlineStr"/>
      <c r="I200" s="18" t="inlineStr">
        <is>
          <t>sim</t>
        </is>
      </c>
    </row>
    <row r="202">
      <c r="A202" s="3" t="inlineStr">
        <is>
          <t>ROTA ALTERNATIVA — peça cortada e furada em vez de barra</t>
        </is>
      </c>
    </row>
    <row r="203">
      <c r="A203" s="2" t="inlineStr">
        <is>
          <t>Estes itens NÃO entram no total: são a mesma estrutura comprada pronta. Cotar os dois e comparar contra o custo de corte próprio.</t>
        </is>
      </c>
    </row>
    <row r="204">
      <c r="A204" s="26" t="inlineStr">
        <is>
          <t>ITEM</t>
        </is>
      </c>
      <c r="B204" s="26" t="inlineStr">
        <is>
          <t>DESCRIÇÃO</t>
        </is>
      </c>
      <c r="C204" s="26" t="inlineStr">
        <is>
          <t>UN</t>
        </is>
      </c>
      <c r="D204" s="26" t="inlineStr">
        <is>
          <t>QUANTIDADE</t>
        </is>
      </c>
      <c r="E204" s="26" t="inlineStr">
        <is>
          <t>ESPECIFICAÇÃO</t>
        </is>
      </c>
      <c r="F204" s="26" t="inlineStr">
        <is>
          <t>NORMAS</t>
        </is>
      </c>
    </row>
    <row r="205">
      <c r="A205" s="9" t="inlineStr">
        <is>
          <t>PF-Ue 90x40x12x0,95</t>
        </is>
      </c>
      <c r="B205" s="11" t="inlineStr">
        <is>
          <t>Ue 90x40x12x0,95</t>
        </is>
      </c>
      <c r="C205" s="10" t="inlineStr">
        <is>
          <t>pc</t>
        </is>
      </c>
      <c r="D205" s="14" t="n">
        <v>588</v>
      </c>
      <c r="E205" s="11" t="inlineStr">
        <is>
          <t>peca cortada e furada conforme Ue 90x40x12x0,95; rota ALTERNATIVA a barra: cotar peca pronta so faz sentido contra o custo de corte proprio</t>
        </is>
      </c>
      <c r="F205" s="10" t="inlineStr">
        <is>
          <t>NBR 15253</t>
        </is>
      </c>
    </row>
    <row r="206">
      <c r="A206" s="9" t="inlineStr">
        <is>
          <t>PF-Ue 250x40x15x3,00</t>
        </is>
      </c>
      <c r="B206" s="11" t="inlineStr">
        <is>
          <t>Ue 250x40x15x3,00</t>
        </is>
      </c>
      <c r="C206" s="10" t="inlineStr">
        <is>
          <t>pc</t>
        </is>
      </c>
      <c r="D206" s="14" t="n">
        <v>22</v>
      </c>
      <c r="E206" s="11" t="inlineStr">
        <is>
          <t>peca cortada e furada conforme Ue 250x40x15x3,00; rota ALTERNATIVA a barra: cotar peca pronta so faz sentido contra o custo de corte proprio</t>
        </is>
      </c>
      <c r="F206" s="10" t="inlineStr">
        <is>
          <t>NBR 15253</t>
        </is>
      </c>
    </row>
    <row r="207">
      <c r="A207" s="9" t="inlineStr">
        <is>
          <t>PF-U 92x38x0,95</t>
        </is>
      </c>
      <c r="B207" s="11" t="inlineStr">
        <is>
          <t>U 92x38x0,95</t>
        </is>
      </c>
      <c r="C207" s="10" t="inlineStr">
        <is>
          <t>pc</t>
        </is>
      </c>
      <c r="D207" s="14" t="n">
        <v>335</v>
      </c>
      <c r="E207" s="11" t="inlineStr">
        <is>
          <t>peca cortada e furada conforme U 92x38x0,95; rota ALTERNATIVA a barra: cotar peca pronta so faz sentido contra o custo de corte proprio</t>
        </is>
      </c>
      <c r="F207" s="10" t="inlineStr">
        <is>
          <t>NBR 15253</t>
        </is>
      </c>
    </row>
    <row r="208">
      <c r="A208" s="9" t="inlineStr">
        <is>
          <t>PF-Ue 250x40x12x2,25</t>
        </is>
      </c>
      <c r="B208" s="11" t="inlineStr">
        <is>
          <t>Ue 250x40x12x2,25</t>
        </is>
      </c>
      <c r="C208" s="10" t="inlineStr">
        <is>
          <t>pc</t>
        </is>
      </c>
      <c r="D208" s="14" t="n">
        <v>24</v>
      </c>
      <c r="E208" s="11" t="inlineStr">
        <is>
          <t>peca cortada e furada conforme Ue 250x40x12x2,25; rota ALTERNATIVA a barra: cotar peca pronta so faz sentido contra o custo de corte proprio</t>
        </is>
      </c>
      <c r="F208" s="10" t="inlineStr">
        <is>
          <t>NBR 15253</t>
        </is>
      </c>
    </row>
    <row r="209">
      <c r="A209" s="9" t="inlineStr">
        <is>
          <t>PF-Ue 140x40x12x0,80</t>
        </is>
      </c>
      <c r="B209" s="11" t="inlineStr">
        <is>
          <t>Ue 140x40x12x0,80</t>
        </is>
      </c>
      <c r="C209" s="10" t="inlineStr">
        <is>
          <t>pc</t>
        </is>
      </c>
      <c r="D209" s="14" t="n">
        <v>80</v>
      </c>
      <c r="E209" s="11" t="inlineStr">
        <is>
          <t>peca cortada e furada conforme Ue 140x40x12x0,80; rota ALTERNATIVA a barra: cotar peca pronta so faz sentido contra o custo de corte proprio</t>
        </is>
      </c>
      <c r="F209" s="10" t="inlineStr">
        <is>
          <t>NBR 15253</t>
        </is>
      </c>
    </row>
    <row r="210">
      <c r="A210" s="9" t="inlineStr">
        <is>
          <t>PF-Ue 200x40x12x1,25</t>
        </is>
      </c>
      <c r="B210" s="11" t="inlineStr">
        <is>
          <t>Ue 200x40x12x1,25</t>
        </is>
      </c>
      <c r="C210" s="10" t="inlineStr">
        <is>
          <t>pc</t>
        </is>
      </c>
      <c r="D210" s="14" t="n">
        <v>16</v>
      </c>
      <c r="E210" s="11" t="inlineStr">
        <is>
          <t>peca cortada e furada conforme Ue 200x40x12x1,25; rota ALTERNATIVA a barra: cotar peca pronta so faz sentido contra o custo de corte proprio</t>
        </is>
      </c>
      <c r="F210" s="10" t="inlineStr">
        <is>
          <t>NBR 15253</t>
        </is>
      </c>
    </row>
    <row r="211">
      <c r="A211" s="9" t="inlineStr">
        <is>
          <t>PF-Ue 200x40x12x0,95</t>
        </is>
      </c>
      <c r="B211" s="11" t="inlineStr">
        <is>
          <t>Ue 200x40x12x0,95</t>
        </is>
      </c>
      <c r="C211" s="10" t="inlineStr">
        <is>
          <t>pc</t>
        </is>
      </c>
      <c r="D211" s="14" t="n">
        <v>24</v>
      </c>
      <c r="E211" s="11" t="inlineStr">
        <is>
          <t>peca cortada e furada conforme Ue 200x40x12x0,95; rota ALTERNATIVA a barra: cotar peca pronta so faz sentido contra o custo de corte proprio</t>
        </is>
      </c>
      <c r="F211" s="10" t="inlineStr">
        <is>
          <t>NBR 15253</t>
        </is>
      </c>
    </row>
    <row r="212">
      <c r="A212" s="9" t="inlineStr">
        <is>
          <t>PF-Ue 90x40x12x1,25</t>
        </is>
      </c>
      <c r="B212" s="11" t="inlineStr">
        <is>
          <t>Ue 90x40x12x1,25</t>
        </is>
      </c>
      <c r="C212" s="10" t="inlineStr">
        <is>
          <t>pc</t>
        </is>
      </c>
      <c r="D212" s="14" t="n">
        <v>51</v>
      </c>
      <c r="E212" s="11" t="inlineStr">
        <is>
          <t>peca cortada e furada conforme Ue 90x40x12x1,25; rota ALTERNATIVA a barra: cotar peca pronta so faz sentido contra o custo de corte proprio</t>
        </is>
      </c>
      <c r="F212" s="10" t="inlineStr">
        <is>
          <t>NBR 15253</t>
        </is>
      </c>
    </row>
    <row r="213">
      <c r="A213" s="9" t="inlineStr">
        <is>
          <t>PF-Ue 140x40x12x1,25</t>
        </is>
      </c>
      <c r="B213" s="11" t="inlineStr">
        <is>
          <t>Ue 140x40x12x1,25</t>
        </is>
      </c>
      <c r="C213" s="10" t="inlineStr">
        <is>
          <t>pc</t>
        </is>
      </c>
      <c r="D213" s="14" t="n">
        <v>19</v>
      </c>
      <c r="E213" s="11" t="inlineStr">
        <is>
          <t>peca cortada e furada conforme Ue 140x40x12x1,25; rota ALTERNATIVA a barra: cotar peca pronta so faz sentido contra o custo de corte proprio</t>
        </is>
      </c>
      <c r="F213" s="10" t="inlineStr">
        <is>
          <t>NBR 15253</t>
        </is>
      </c>
    </row>
    <row r="214">
      <c r="A214" s="9" t="inlineStr">
        <is>
          <t>PF-Ue 250x40x12x1,25</t>
        </is>
      </c>
      <c r="B214" s="11" t="inlineStr">
        <is>
          <t>Ue 250x40x12x1,25</t>
        </is>
      </c>
      <c r="C214" s="10" t="inlineStr">
        <is>
          <t>pc</t>
        </is>
      </c>
      <c r="D214" s="14" t="n">
        <v>4</v>
      </c>
      <c r="E214" s="11" t="inlineStr">
        <is>
          <t>peca cortada e furada conforme Ue 250x40x12x1,25; rota ALTERNATIVA a barra: cotar peca pronta so faz sentido contra o custo de corte proprio</t>
        </is>
      </c>
      <c r="F214" s="10" t="inlineStr">
        <is>
          <t>NBR 15253</t>
        </is>
      </c>
    </row>
    <row r="215">
      <c r="A215" s="9" t="inlineStr">
        <is>
          <t>PF-Fita 38x0,80</t>
        </is>
      </c>
      <c r="B215" s="11" t="inlineStr">
        <is>
          <t>Fita 38x0,80</t>
        </is>
      </c>
      <c r="C215" s="10" t="inlineStr">
        <is>
          <t>pc</t>
        </is>
      </c>
      <c r="D215" s="14" t="n">
        <v>38</v>
      </c>
      <c r="E215" s="11" t="inlineStr">
        <is>
          <t>peca cortada e furada conforme Fita 38x0,80; rota ALTERNATIVA a barra: cotar peca pronta so faz sentido contra o custo de corte proprio</t>
        </is>
      </c>
      <c r="F215" s="10" t="inlineStr">
        <is>
          <t>NBR 15253</t>
        </is>
      </c>
    </row>
    <row r="216">
      <c r="A216" s="9" t="inlineStr">
        <is>
          <t>PLACA</t>
        </is>
      </c>
      <c r="B216" s="11" t="inlineStr">
        <is>
          <t>Placa (gesso, RU e cimenticia)</t>
        </is>
      </c>
      <c r="C216" s="10" t="inlineStr">
        <is>
          <t>pc</t>
        </is>
      </c>
      <c r="D216" s="14" t="n">
        <v>944</v>
      </c>
      <c r="E216" s="11" t="inlineStr">
        <is>
          <t>placa inteira, por formato — rota alternativa a compra por m2; formatos: 1200 x 2400, 1200 x 25000, 600 x 1250</t>
        </is>
      </c>
      <c r="F216" s="10" t="inlineStr">
        <is>
          <t>NBR 15758</t>
        </is>
      </c>
    </row>
  </sheetData>
  <autoFilter ref="A3:I200"/>
  <conditionalFormatting sqref="I4:I200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estrutura</t>
        </is>
      </c>
      <c r="B9" s="18" t="n">
        <v>1</v>
      </c>
      <c r="C9" s="10" t="inlineStr">
        <is>
          <t>Tecnoframe</t>
        </is>
      </c>
      <c r="D9" s="36" t="inlineStr">
        <is>
          <t>Manaus/AM</t>
        </is>
      </c>
      <c r="E9" s="11" t="inlineStr">
        <is>
          <t>perfis LSF, fabricante com atuacao local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estrutura</t>
        </is>
      </c>
      <c r="B10" s="18" t="n">
        <v>2</v>
      </c>
      <c r="C10" s="10" t="inlineStr">
        <is>
          <t>Barbieri do Brasil</t>
        </is>
      </c>
      <c r="D10" s="10" t="inlineStr">
        <is>
          <t>Nacional</t>
        </is>
      </c>
      <c r="E10" s="11" t="inlineStr">
        <is>
          <t>perfis galvanizados LSF e drywall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estrutura</t>
        </is>
      </c>
      <c r="B11" s="18" t="n">
        <v>3</v>
      </c>
      <c r="C11" s="10" t="inlineStr">
        <is>
          <t>Multiperfil</t>
        </is>
      </c>
      <c r="D11" s="10" t="inlineStr">
        <is>
          <t>Nacional</t>
        </is>
      </c>
      <c r="E11" s="11" t="inlineStr">
        <is>
          <t>perfis LSF, venda por distribuidor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estrutura</t>
        </is>
      </c>
      <c r="B12" s="18" t="n">
        <v>4</v>
      </c>
      <c r="C12" s="10" t="inlineStr">
        <is>
          <t>Deville Kerr</t>
        </is>
      </c>
      <c r="D12" s="10" t="inlineStr">
        <is>
          <t>Nacional</t>
        </is>
      </c>
      <c r="E12" s="11" t="inlineStr">
        <is>
          <t>perfis LSF direto de fabrica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estrutura</t>
        </is>
      </c>
      <c r="B13" s="18" t="n">
        <v>5</v>
      </c>
      <c r="C13" s="10" t="inlineStr">
        <is>
          <t>Alge Steel / Alge Metalurgica</t>
        </is>
      </c>
      <c r="D13" s="10" t="inlineStr">
        <is>
          <t>Nacional</t>
        </is>
      </c>
      <c r="E13" s="11" t="inlineStr">
        <is>
          <t>perfis steel frame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10" t="inlineStr">
        <is>
          <t>estrutura</t>
        </is>
      </c>
      <c r="B14" s="18" t="n">
        <v>6</v>
      </c>
      <c r="C14" s="10" t="inlineStr">
        <is>
          <t>MPS Steel</t>
        </is>
      </c>
      <c r="D14" s="10" t="inlineStr">
        <is>
          <t>Nacional</t>
        </is>
      </c>
      <c r="E14" s="11" t="inlineStr">
        <is>
          <t>fabricacao e fornecimento de perfis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9" t="inlineStr">
        <is>
          <t>externo</t>
        </is>
      </c>
      <c r="B15" s="18" t="n">
        <v>1</v>
      </c>
      <c r="C15" s="10" t="inlineStr">
        <is>
          <t>Du Norte Comercio</t>
        </is>
      </c>
      <c r="D15" s="36" t="inlineStr">
        <is>
          <t>Manaus/AM</t>
        </is>
      </c>
      <c r="E15" s="11" t="inlineStr">
        <is>
          <t>bloco, areia e brita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externo</t>
        </is>
      </c>
      <c r="B16" s="18" t="n">
        <v>2</v>
      </c>
      <c r="C16" s="10" t="inlineStr">
        <is>
          <t>Loja do Rei</t>
        </is>
      </c>
      <c r="D16" s="36" t="inlineStr">
        <is>
          <t>Manaus/AM</t>
        </is>
      </c>
      <c r="E16" s="11" t="inlineStr">
        <is>
          <t>bloco de concreto estrutural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externo</t>
        </is>
      </c>
      <c r="B17" s="18" t="n">
        <v>3</v>
      </c>
      <c r="C17" s="10" t="inlineStr">
        <is>
          <t>O K Representacao de Material de Construcao</t>
        </is>
      </c>
      <c r="D17" s="36" t="inlineStr">
        <is>
          <t>Manaus/AM</t>
        </is>
      </c>
      <c r="E17" s="11" t="inlineStr">
        <is>
          <t>representacao e distribuicao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externo</t>
        </is>
      </c>
      <c r="B18" s="18" t="n">
        <v>4</v>
      </c>
      <c r="C18" s="10" t="inlineStr">
        <is>
          <t>Portobello / Eliane / Portinari</t>
        </is>
      </c>
      <c r="D18" s="10" t="inlineStr">
        <is>
          <t>Nacional</t>
        </is>
      </c>
      <c r="E18" s="11" t="inlineStr">
        <is>
          <t>porcelanato externo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10" t="inlineStr">
        <is>
          <t>externo</t>
        </is>
      </c>
      <c r="B19" s="18" t="n">
        <v>5</v>
      </c>
      <c r="C19" s="10" t="inlineStr">
        <is>
          <t>Fabricantes de WPC (deck coextrudado)</t>
        </is>
      </c>
      <c r="D19" s="10" t="inlineStr">
        <is>
          <t>Nacional</t>
        </is>
      </c>
      <c r="E19" s="11" t="inlineStr">
        <is>
          <t>deck de madeira plastica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9" t="inlineStr">
        <is>
          <t>esquadria</t>
        </is>
      </c>
      <c r="B20" s="18" t="n">
        <v>1</v>
      </c>
      <c r="C20" s="10" t="inlineStr">
        <is>
          <t>Metalurgica Aluminova</t>
        </is>
      </c>
      <c r="D20" s="36" t="inlineStr">
        <is>
          <t>Manaus/AM</t>
        </is>
      </c>
      <c r="E20" s="11" t="inlineStr">
        <is>
          <t>esquadria de aluminio e vidro temperado, 21 anos de praca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esquadria</t>
        </is>
      </c>
      <c r="B21" s="18" t="n">
        <v>2</v>
      </c>
      <c r="C21" s="10" t="inlineStr">
        <is>
          <t>Esquadrias Alufynestra</t>
        </is>
      </c>
      <c r="D21" s="36" t="inlineStr">
        <is>
          <t>Manaus/AM</t>
        </is>
      </c>
      <c r="E21" s="11" t="inlineStr">
        <is>
          <t>esquadria de aluminio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esquadria</t>
        </is>
      </c>
      <c r="B22" s="18" t="n">
        <v>3</v>
      </c>
      <c r="C22" s="10" t="inlineStr">
        <is>
          <t>Serralheria e Vidracaria Lopes</t>
        </is>
      </c>
      <c r="D22" s="36" t="inlineStr">
        <is>
          <t>Manaus/AM</t>
        </is>
      </c>
      <c r="E22" s="11" t="inlineStr">
        <is>
          <t>aluminio e temperado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esquadria</t>
        </is>
      </c>
      <c r="B23" s="18" t="n">
        <v>4</v>
      </c>
      <c r="C23" s="10" t="inlineStr">
        <is>
          <t>Fabrica da Esquadria</t>
        </is>
      </c>
      <c r="D23" s="10" t="inlineStr">
        <is>
          <t>Nacional</t>
        </is>
      </c>
      <c r="E23" s="11" t="inlineStr">
        <is>
          <t>linha Suprema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10" t="inlineStr">
        <is>
          <t>esquadria</t>
        </is>
      </c>
      <c r="B24" s="18" t="n">
        <v>5</v>
      </c>
      <c r="C24" s="10" t="inlineStr">
        <is>
          <t>Gold Esquadrias</t>
        </is>
      </c>
      <c r="D24" s="10" t="inlineStr">
        <is>
          <t>Nacional</t>
        </is>
      </c>
      <c r="E24" s="11" t="inlineStr">
        <is>
          <t>linha Suprema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9" t="inlineStr">
        <is>
          <t>fachada</t>
        </is>
      </c>
      <c r="B25" s="18" t="n">
        <v>1</v>
      </c>
      <c r="C25" s="10" t="inlineStr">
        <is>
          <t>Metalurgica Aluminova</t>
        </is>
      </c>
      <c r="D25" s="36" t="inlineStr">
        <is>
          <t>Manaus/AM</t>
        </is>
      </c>
      <c r="E25" s="11" t="inlineStr">
        <is>
          <t>ripado e brise em aluminio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fachada</t>
        </is>
      </c>
      <c r="B26" s="18" t="n">
        <v>2</v>
      </c>
      <c r="C26" s="10" t="inlineStr">
        <is>
          <t>Alubrasil / Hydro</t>
        </is>
      </c>
      <c r="D26" s="10" t="inlineStr">
        <is>
          <t>Nacional</t>
        </is>
      </c>
      <c r="E26" s="11" t="inlineStr">
        <is>
          <t>perfil de aluminio extrudado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fachada</t>
        </is>
      </c>
      <c r="B27" s="18" t="n">
        <v>3</v>
      </c>
      <c r="C27" s="10" t="inlineStr">
        <is>
          <t>Fabricantes de brise movel</t>
        </is>
      </c>
      <c r="D27" s="10" t="inlineStr">
        <is>
          <t>Nacional</t>
        </is>
      </c>
      <c r="E27" s="11" t="inlineStr">
        <is>
          <t>mecanismo e guia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fachada</t>
        </is>
      </c>
      <c r="B28" s="18" t="n">
        <v>4</v>
      </c>
      <c r="C28" s="10" t="inlineStr">
        <is>
          <t>Serralherias de Manaus</t>
        </is>
      </c>
      <c r="D28" s="36" t="inlineStr">
        <is>
          <t>Manaus/AM</t>
        </is>
      </c>
      <c r="E28" s="11" t="inlineStr">
        <is>
          <t>montagem e fixacao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10" t="inlineStr">
        <is>
          <t>fachada</t>
        </is>
      </c>
      <c r="B29" s="18" t="n">
        <v>5</v>
      </c>
      <c r="C29" s="10" t="inlineStr">
        <is>
          <t>Esquadrias Alufynestra</t>
        </is>
      </c>
      <c r="D29" s="36" t="inlineStr">
        <is>
          <t>Manaus/AM</t>
        </is>
      </c>
      <c r="E29" s="11" t="inlineStr">
        <is>
          <t>perfis e acabamento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9" t="inlineStr">
        <is>
          <t>marcenaria</t>
        </is>
      </c>
      <c r="B30" s="18" t="n">
        <v>1</v>
      </c>
      <c r="C30" s="10" t="inlineStr">
        <is>
          <t>Marcenarias de Manaus</t>
        </is>
      </c>
      <c r="D30" s="36" t="inlineStr">
        <is>
          <t>Manaus/AM</t>
        </is>
      </c>
      <c r="E30" s="11" t="inlineStr">
        <is>
          <t>movel sob medida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marcenaria</t>
        </is>
      </c>
      <c r="B31" s="18" t="n">
        <v>2</v>
      </c>
      <c r="C31" s="10" t="inlineStr">
        <is>
          <t>Todeschini / Dell Anno</t>
        </is>
      </c>
      <c r="D31" s="10" t="inlineStr">
        <is>
          <t>Nacional</t>
        </is>
      </c>
      <c r="E31" s="11" t="inlineStr">
        <is>
          <t>movel planejado, rede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marcenaria</t>
        </is>
      </c>
      <c r="B32" s="18" t="n">
        <v>3</v>
      </c>
      <c r="C32" s="10" t="inlineStr">
        <is>
          <t>Italinea / Favorita</t>
        </is>
      </c>
      <c r="D32" s="10" t="inlineStr">
        <is>
          <t>Nacional</t>
        </is>
      </c>
      <c r="E32" s="11" t="inlineStr">
        <is>
          <t>movel planejado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marcenaria</t>
        </is>
      </c>
      <c r="B33" s="18" t="n">
        <v>4</v>
      </c>
      <c r="C33" s="10" t="inlineStr">
        <is>
          <t>Marmorarias de Manaus</t>
        </is>
      </c>
      <c r="D33" s="36" t="inlineStr">
        <is>
          <t>Manaus/AM</t>
        </is>
      </c>
      <c r="E33" s="11" t="inlineStr">
        <is>
          <t>tampo em quartzo e granito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10" t="inlineStr">
        <is>
          <t>marcenaria</t>
        </is>
      </c>
      <c r="B34" s="18" t="n">
        <v>5</v>
      </c>
      <c r="C34" s="10" t="inlineStr">
        <is>
          <t>Duratex / Guararapes</t>
        </is>
      </c>
      <c r="D34" s="10" t="inlineStr">
        <is>
          <t>Nacional</t>
        </is>
      </c>
      <c r="E34" s="11" t="inlineStr">
        <is>
          <t>MDF, fabricante de chapa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9" t="inlineStr">
        <is>
          <t>eletrica</t>
        </is>
      </c>
      <c r="B35" s="18" t="n">
        <v>1</v>
      </c>
      <c r="C35" s="10" t="inlineStr">
        <is>
          <t>Schneider / Pial Legrand</t>
        </is>
      </c>
      <c r="D35" s="10" t="inlineStr">
        <is>
          <t>Nacional</t>
        </is>
      </c>
      <c r="E35" s="11" t="inlineStr">
        <is>
          <t>tomada, interruptor e placa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eletrica</t>
        </is>
      </c>
      <c r="B36" s="18" t="n">
        <v>2</v>
      </c>
      <c r="C36" s="10" t="inlineStr">
        <is>
          <t>Steck</t>
        </is>
      </c>
      <c r="D36" s="10" t="inlineStr">
        <is>
          <t>Nacional</t>
        </is>
      </c>
      <c r="E36" s="11" t="inlineStr">
        <is>
          <t>dispositivos e quadros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eletrica</t>
        </is>
      </c>
      <c r="B37" s="18" t="n">
        <v>3</v>
      </c>
      <c r="C37" s="10" t="inlineStr">
        <is>
          <t>WEG</t>
        </is>
      </c>
      <c r="D37" s="10" t="inlineStr">
        <is>
          <t>Nacional</t>
        </is>
      </c>
      <c r="E37" s="11" t="inlineStr">
        <is>
          <t>disjuntor, DR e DPS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eletrica</t>
        </is>
      </c>
      <c r="B38" s="18" t="n">
        <v>4</v>
      </c>
      <c r="C38" s="10" t="inlineStr">
        <is>
          <t>Philips / Osram / Stella</t>
        </is>
      </c>
      <c r="D38" s="10" t="inlineStr">
        <is>
          <t>Nacional</t>
        </is>
      </c>
      <c r="E38" s="11" t="inlineStr">
        <is>
          <t>luminaria LED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10" t="inlineStr">
        <is>
          <t>eletrica</t>
        </is>
      </c>
      <c r="B39" s="18" t="n">
        <v>5</v>
      </c>
      <c r="C39" s="10" t="inlineStr">
        <is>
          <t>Distribuidores eletricos de Manaus</t>
        </is>
      </c>
      <c r="D39" s="36" t="inlineStr">
        <is>
          <t>Manaus/AM</t>
        </is>
      </c>
      <c r="E39" s="11" t="inlineStr">
        <is>
          <t>material eletrico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9" t="inlineStr">
        <is>
          <t>revestimento</t>
        </is>
      </c>
      <c r="B40" s="18" t="n">
        <v>1</v>
      </c>
      <c r="C40" s="10" t="inlineStr">
        <is>
          <t>Du Norte Comercio</t>
        </is>
      </c>
      <c r="D40" s="36" t="inlineStr">
        <is>
          <t>Manaus/AM</t>
        </is>
      </c>
      <c r="E40" s="11" t="inlineStr">
        <is>
          <t>porcelanato, argamassa e rejunte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revestimento</t>
        </is>
      </c>
      <c r="B41" s="18" t="n">
        <v>2</v>
      </c>
      <c r="C41" s="10" t="inlineStr">
        <is>
          <t>Loja do Rei</t>
        </is>
      </c>
      <c r="D41" s="36" t="inlineStr">
        <is>
          <t>Manaus/AM</t>
        </is>
      </c>
      <c r="E41" s="11" t="inlineStr">
        <is>
          <t>revestimento e assentamento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revestimento</t>
        </is>
      </c>
      <c r="B42" s="18" t="n">
        <v>3</v>
      </c>
      <c r="C42" s="10" t="inlineStr">
        <is>
          <t>Bacuri Materiais</t>
        </is>
      </c>
      <c r="D42" s="36" t="inlineStr">
        <is>
          <t>Manaus/AM</t>
        </is>
      </c>
      <c r="E42" s="11" t="inlineStr">
        <is>
          <t>revestimento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revestimento</t>
        </is>
      </c>
      <c r="B43" s="18" t="n">
        <v>4</v>
      </c>
      <c r="C43" s="10" t="inlineStr">
        <is>
          <t>Portobello / Eliane / Portinari</t>
        </is>
      </c>
      <c r="D43" s="10" t="inlineStr">
        <is>
          <t>Nacional</t>
        </is>
      </c>
      <c r="E43" s="11" t="inlineStr">
        <is>
          <t>porcelanato, fabricante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revestimento</t>
        </is>
      </c>
      <c r="B44" s="18" t="n">
        <v>5</v>
      </c>
      <c r="C44" s="10" t="inlineStr">
        <is>
          <t>Quartzolit / Votomassa</t>
        </is>
      </c>
      <c r="D44" s="10" t="inlineStr">
        <is>
          <t>Nacional</t>
        </is>
      </c>
      <c r="E44" s="11" t="inlineStr">
        <is>
          <t>argamassa colante e rejunte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fundacao</t>
        </is>
      </c>
      <c r="B45" s="18" t="n">
        <v>1</v>
      </c>
      <c r="C45" s="10" t="inlineStr">
        <is>
          <t>Du Norte Comercio</t>
        </is>
      </c>
      <c r="D45" s="36" t="inlineStr">
        <is>
          <t>Manaus/AM</t>
        </is>
      </c>
      <c r="E45" s="11" t="inlineStr">
        <is>
          <t>cimento, areia e brita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fundacao</t>
        </is>
      </c>
      <c r="B46" s="18" t="n">
        <v>2</v>
      </c>
      <c r="C46" s="10" t="inlineStr">
        <is>
          <t>Loja do Rei Comercio de Material de Construcao</t>
        </is>
      </c>
      <c r="D46" s="36" t="inlineStr">
        <is>
          <t>Manaus/AM</t>
        </is>
      </c>
      <c r="E46" s="11" t="inlineStr">
        <is>
          <t>maior faturamento do setor na praca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fundacao</t>
        </is>
      </c>
      <c r="B47" s="18" t="n">
        <v>3</v>
      </c>
      <c r="C47" s="10" t="inlineStr">
        <is>
          <t>Bacuri Madeiras e Material de Construcao</t>
        </is>
      </c>
      <c r="D47" s="36" t="inlineStr">
        <is>
          <t>Manaus/AM</t>
        </is>
      </c>
      <c r="E47" s="11" t="inlineStr">
        <is>
          <t>insumos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fundacao</t>
        </is>
      </c>
      <c r="B48" s="18" t="n">
        <v>4</v>
      </c>
      <c r="C48" s="10" t="inlineStr">
        <is>
          <t>Concreteiras locais (usinas de Manaus)</t>
        </is>
      </c>
      <c r="D48" s="36" t="inlineStr">
        <is>
          <t>Manaus/AM</t>
        </is>
      </c>
      <c r="E48" s="11" t="inlineStr">
        <is>
          <t>concreto usinado fck 30 com bombeamento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fundacao</t>
        </is>
      </c>
      <c r="B49" s="18" t="n">
        <v>5</v>
      </c>
      <c r="C49" s="10" t="inlineStr">
        <is>
          <t>Gerdau / ArcelorMittal</t>
        </is>
      </c>
      <c r="D49" s="10" t="inlineStr">
        <is>
          <t>Nacional</t>
        </is>
      </c>
      <c r="E49" s="11" t="inlineStr">
        <is>
          <t>aco CA-50 e tela soldada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pintura</t>
        </is>
      </c>
      <c r="B60" s="18" t="n">
        <v>1</v>
      </c>
      <c r="C60" s="10" t="inlineStr">
        <is>
          <t>Empreiteiras de pintura de Manaus</t>
        </is>
      </c>
      <c r="D60" s="36" t="inlineStr">
        <is>
          <t>Manaus/AM</t>
        </is>
      </c>
      <c r="E60" s="11" t="inlineStr">
        <is>
          <t>material e mao de obra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pintura</t>
        </is>
      </c>
      <c r="B61" s="18" t="n">
        <v>2</v>
      </c>
      <c r="C61" s="10" t="inlineStr">
        <is>
          <t>Suvinil / BASF</t>
        </is>
      </c>
      <c r="D61" s="10" t="inlineStr">
        <is>
          <t>Nacional</t>
        </is>
      </c>
      <c r="E61" s="11" t="inlineStr">
        <is>
          <t>tinta, fabricante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pintura</t>
        </is>
      </c>
      <c r="B62" s="18" t="n">
        <v>3</v>
      </c>
      <c r="C62" s="10" t="inlineStr">
        <is>
          <t>Coral / AkzoNobel</t>
        </is>
      </c>
      <c r="D62" s="10" t="inlineStr">
        <is>
          <t>Nacional</t>
        </is>
      </c>
      <c r="E62" s="11" t="inlineStr">
        <is>
          <t>tinta, fabricante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pintura</t>
        </is>
      </c>
      <c r="B63" s="18" t="n">
        <v>4</v>
      </c>
      <c r="C63" s="10" t="inlineStr">
        <is>
          <t>Sherwin-Williams</t>
        </is>
      </c>
      <c r="D63" s="10" t="inlineStr">
        <is>
          <t>Nacional</t>
        </is>
      </c>
      <c r="E63" s="11" t="inlineStr">
        <is>
          <t>tinta, fabricante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pintura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tinta e material de pintura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loucas</t>
        </is>
      </c>
      <c r="B65" s="18" t="n">
        <v>1</v>
      </c>
      <c r="C65" s="10" t="inlineStr">
        <is>
          <t>Deca / Duratex</t>
        </is>
      </c>
      <c r="D65" s="10" t="inlineStr">
        <is>
          <t>Nacional</t>
        </is>
      </c>
      <c r="E65" s="11" t="inlineStr">
        <is>
          <t>louca e metal, fabricante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loucas</t>
        </is>
      </c>
      <c r="B66" s="18" t="n">
        <v>2</v>
      </c>
      <c r="C66" s="10" t="inlineStr">
        <is>
          <t>Docol</t>
        </is>
      </c>
      <c r="D66" s="10" t="inlineStr">
        <is>
          <t>Nacional</t>
        </is>
      </c>
      <c r="E66" s="11" t="inlineStr">
        <is>
          <t>metal sanitario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loucas</t>
        </is>
      </c>
      <c r="B67" s="18" t="n">
        <v>3</v>
      </c>
      <c r="C67" s="10" t="inlineStr">
        <is>
          <t>Roca / Celite</t>
        </is>
      </c>
      <c r="D67" s="10" t="inlineStr">
        <is>
          <t>Nacional</t>
        </is>
      </c>
      <c r="E67" s="11" t="inlineStr">
        <is>
          <t>louca sanitaria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loucas</t>
        </is>
      </c>
      <c r="B68" s="18" t="n">
        <v>4</v>
      </c>
      <c r="C68" s="10" t="inlineStr">
        <is>
          <t>Lojas de acabamento de Manaus</t>
        </is>
      </c>
      <c r="D68" s="36" t="inlineStr">
        <is>
          <t>Manaus/AM</t>
        </is>
      </c>
      <c r="E68" s="11" t="inlineStr">
        <is>
          <t>louca e metal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loucas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louca, metal e acessorio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16</t>
        </is>
      </c>
      <c r="B11" s="43" t="inlineStr">
        <is>
          <t>Convencao de lateral esquerda/direita para os recuos</t>
        </is>
      </c>
      <c r="C11" s="11" t="inlineStr">
        <is>
          <t>Lei 1.838/2014 (SU16) — texto do recuo lateral</t>
        </is>
      </c>
      <c r="D11" s="18" t="inlineStr">
        <is>
          <t>aprovacao</t>
        </is>
      </c>
      <c r="E11" s="11" t="inlineStr">
        <is>
          <t>A casa tem 2,40 m de recuo ao SUL e 4,40 m ao NORTE. O caso declara RECUO_ESQ = 2,40 (sul) e RECUO_DIR_MIN = 3,00 (norte) pela convencao do observador na rua. A descricao do proprietario usa a convencao oposta. Se a certidao adotar a segunda, o lado que precisa de 3,00 passa a ser o SUL, onde ha 2,40: infracao de 600 mm. Resolve-se lendo o texto legal, nao medindo nada</t>
        </is>
      </c>
    </row>
    <row r="12">
      <c r="A12" s="18" t="inlineStr">
        <is>
          <t>17</t>
        </is>
      </c>
      <c r="B12" s="43" t="inlineStr">
        <is>
          <t>Levantamento planialtimetrico do lote</t>
        </is>
      </c>
      <c r="C12" s="11" t="inlineStr">
        <is>
          <t>NBR 13133</t>
        </is>
      </c>
      <c r="D12" s="18" t="inlineStr"/>
      <c r="E12" s="11" t="inlineStr">
        <is>
          <t>A topografia entrou como FAIXA declarada pelo proprietario (1 % a 2 % para a rua), nao como poligonal medida. O projeto usa o pior caso em volume de terra e o melhor caso em caimento, e nucleo/terreno mostra que a faixa inteira cabe dentro da troca de solo que o SPT ja obrigou. Um levantamento real fecha as cotas de locacao e o RN</t>
        </is>
      </c>
    </row>
    <row r="13">
      <c r="A13" s="18" t="inlineStr">
        <is>
          <t>1</t>
        </is>
      </c>
      <c r="B13" s="43" t="inlineStr">
        <is>
          <t>Certidao oficial do SU16 (CAMT, taxa de ocupacao, gabarito)</t>
        </is>
      </c>
      <c r="C13" s="11" t="inlineStr">
        <is>
          <t>Lei 1.838/2014</t>
        </is>
      </c>
      <c r="D13" s="18" t="inlineStr">
        <is>
          <t>obra</t>
        </is>
      </c>
      <c r="E13" s="11" t="inlineStr">
        <is>
          <t>Condiciona toda a implantacao</t>
        </is>
      </c>
    </row>
    <row r="14">
      <c r="A14" s="18" t="inlineStr">
        <is>
          <t>3</t>
        </is>
      </c>
      <c r="B14" s="43" t="inlineStr">
        <is>
          <t>Calculo estrutural do hibrido LSF + laminado, com ART</t>
        </is>
      </c>
      <c r="C14" s="11" t="inlineStr">
        <is>
          <t>NBR 8800 / 14762</t>
        </is>
      </c>
      <c r="D14" s="18" t="inlineStr">
        <is>
          <t>fabricacao</t>
        </is>
      </c>
      <c r="E14" s="11" t="inlineStr">
        <is>
          <t>Estrutura e balanco; inclui o apoio da caixa d'agua. O pre-dimensionamento por flecha nao substitui verificacao de flambagem lateral</t>
        </is>
      </c>
    </row>
    <row r="15">
      <c r="A15" s="18" t="inlineStr">
        <is>
          <t>6</t>
        </is>
      </c>
      <c r="B15" s="43" t="inlineStr">
        <is>
          <t>Regulamento especifico do condominio</t>
        </is>
      </c>
      <c r="C15" s="11" t="inlineStr">
        <is>
          <t>—</t>
        </is>
      </c>
      <c r="D15" s="18" t="inlineStr">
        <is>
          <t>obra</t>
        </is>
      </c>
      <c r="E15" s="11" t="inlineStr">
        <is>
          <t>Fachada, muros, recuos e especie vegetal</t>
        </is>
      </c>
    </row>
    <row r="16">
      <c r="A16" s="18" t="inlineStr">
        <is>
          <t>8</t>
        </is>
      </c>
      <c r="B16" s="43" t="inlineStr">
        <is>
          <t>Nesting codificado dos paineis LSF</t>
        </is>
      </c>
      <c r="C16" s="11" t="inlineStr">
        <is>
          <t>fabricante</t>
        </is>
      </c>
      <c r="D16" s="18" t="inlineStr">
        <is>
          <t>fabricacao</t>
        </is>
      </c>
      <c r="E16" s="11" t="inlineStr">
        <is>
          <t>A paginacao atual e de estudo, nao de corte</t>
        </is>
      </c>
    </row>
    <row r="17">
      <c r="A17" s="18" t="inlineStr">
        <is>
          <t>15</t>
        </is>
      </c>
      <c r="B17" s="43" t="inlineStr">
        <is>
          <t>Dados de sitio da energia: raios, sol e tarifa</t>
        </is>
      </c>
      <c r="C17" s="11" t="inlineStr">
        <is>
          <t>NBR 5419-2 (Ng) · Atlas Brasileiro de Energia Solar (HSP) · ANEEL/Amazonas Energia (tarifa)</t>
        </is>
      </c>
      <c r="D17" s="18" t="inlineStr"/>
      <c r="E17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8">
      <c r="A18" s="18" t="inlineStr">
        <is>
          <t>14</t>
        </is>
      </c>
      <c r="B18" s="43" t="inlineStr">
        <is>
          <t>Rota de conformidade termica da parede externa</t>
        </is>
      </c>
      <c r="C18" s="11" t="inlineStr">
        <is>
          <t>NBR 15220-3 (tabela da ZB8) x NBR 15575-4 (desempenho)</t>
        </is>
      </c>
      <c r="D18" s="18" t="inlineStr">
        <is>
          <t>aprovacao</t>
        </is>
      </c>
      <c r="E18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9">
      <c r="A19" s="18" t="inlineStr">
        <is>
          <t>12</t>
        </is>
      </c>
      <c r="B19" s="43" t="inlineStr">
        <is>
          <t>Cotacao dos materiais: 100 % dos precos sao (H)</t>
        </is>
      </c>
      <c r="C19" s="11" t="inlineStr">
        <is>
          <t>Lei 14.133 art. 23 (parametro de 3 propostas)</t>
        </is>
      </c>
      <c r="D19" s="18" t="inlineStr">
        <is>
          <t>contrato</t>
        </is>
      </c>
      <c r="E19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1201 peças · 585 barras de 6.000 mm · aproveitamento 88.9 % · perda 390.0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16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4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14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4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7200</v>
      </c>
      <c r="C10" s="45" t="n">
        <v>1</v>
      </c>
      <c r="D10" s="10" t="inlineStr">
        <is>
          <t>travamento</t>
        </is>
      </c>
      <c r="E10" s="46" t="n">
        <v>8.851000000000001</v>
      </c>
      <c r="F10" s="14">
        <f>C10*E10</f>
        <v/>
      </c>
    </row>
    <row r="11">
      <c r="A11" s="10" t="inlineStr">
        <is>
          <t>U 92x38x0,95</t>
        </is>
      </c>
      <c r="B11" s="44" t="n">
        <v>6000</v>
      </c>
      <c r="C11" s="45" t="n">
        <v>5</v>
      </c>
      <c r="D11" s="10" t="inlineStr">
        <is>
          <t>blocking, track</t>
        </is>
      </c>
      <c r="E11" s="46" t="n">
        <v>7.376</v>
      </c>
      <c r="F11" s="14">
        <f>C11*E11</f>
        <v/>
      </c>
    </row>
    <row r="12">
      <c r="A12" s="10" t="inlineStr">
        <is>
          <t>U 92x38x0,95</t>
        </is>
      </c>
      <c r="B12" s="44" t="n">
        <v>5490</v>
      </c>
      <c r="C12" s="45" t="n">
        <v>1</v>
      </c>
      <c r="D12" s="10" t="inlineStr">
        <is>
          <t>track</t>
        </is>
      </c>
      <c r="E12" s="46" t="n">
        <v>6.749</v>
      </c>
      <c r="F12" s="14">
        <f>C12*E12</f>
        <v/>
      </c>
    </row>
    <row r="13">
      <c r="A13" s="10" t="inlineStr">
        <is>
          <t>U 92x38x0,95</t>
        </is>
      </c>
      <c r="B13" s="44" t="n">
        <v>5400</v>
      </c>
      <c r="C13" s="45" t="n">
        <v>5</v>
      </c>
      <c r="D13" s="10" t="inlineStr">
        <is>
          <t>blocking, travamento</t>
        </is>
      </c>
      <c r="E13" s="46" t="n">
        <v>6.639</v>
      </c>
      <c r="F13" s="14">
        <f>C13*E13</f>
        <v/>
      </c>
    </row>
    <row r="14">
      <c r="A14" s="10" t="inlineStr">
        <is>
          <t>U 92x38x0,95</t>
        </is>
      </c>
      <c r="B14" s="44" t="n">
        <v>4890</v>
      </c>
      <c r="C14" s="45" t="n">
        <v>1</v>
      </c>
      <c r="D14" s="10" t="inlineStr">
        <is>
          <t>blocking</t>
        </is>
      </c>
      <c r="E14" s="46" t="n">
        <v>6.012</v>
      </c>
      <c r="F14" s="14">
        <f>C14*E14</f>
        <v/>
      </c>
    </row>
    <row r="15">
      <c r="A15" s="10" t="inlineStr">
        <is>
          <t>U 92x38x0,95</t>
        </is>
      </c>
      <c r="B15" s="44" t="n">
        <v>4200</v>
      </c>
      <c r="C15" s="45" t="n">
        <v>4</v>
      </c>
      <c r="D15" s="10" t="inlineStr">
        <is>
          <t>blocking, track</t>
        </is>
      </c>
      <c r="E15" s="46" t="n">
        <v>5.163</v>
      </c>
      <c r="F15" s="14">
        <f>C15*E15</f>
        <v/>
      </c>
    </row>
    <row r="16">
      <c r="A16" s="10" t="inlineStr">
        <is>
          <t>U 92x38x0,95</t>
        </is>
      </c>
      <c r="B16" s="44" t="n">
        <v>3600</v>
      </c>
      <c r="C16" s="45" t="n">
        <v>96</v>
      </c>
      <c r="D16" s="10" t="inlineStr">
        <is>
          <t>blocking, track</t>
        </is>
      </c>
      <c r="E16" s="46" t="n">
        <v>4.426</v>
      </c>
      <c r="F16" s="14">
        <f>C16*E16</f>
        <v/>
      </c>
    </row>
    <row r="17">
      <c r="A17" s="10" t="inlineStr">
        <is>
          <t>U 92x38x0,95</t>
        </is>
      </c>
      <c r="B17" s="44" t="n">
        <v>3000</v>
      </c>
      <c r="C17" s="45" t="n">
        <v>57</v>
      </c>
      <c r="D17" s="10" t="inlineStr">
        <is>
          <t>blocking, track, travamento</t>
        </is>
      </c>
      <c r="E17" s="46" t="n">
        <v>3.688</v>
      </c>
      <c r="F17" s="14">
        <f>C17*E17</f>
        <v/>
      </c>
    </row>
    <row r="18">
      <c r="A18" s="10" t="inlineStr">
        <is>
          <t>U 92x38x0,95</t>
        </is>
      </c>
      <c r="B18" s="44" t="n">
        <v>2400</v>
      </c>
      <c r="C18" s="45" t="n">
        <v>52</v>
      </c>
      <c r="D18" s="10" t="inlineStr">
        <is>
          <t>blocking, track</t>
        </is>
      </c>
      <c r="E18" s="46" t="n">
        <v>2.95</v>
      </c>
      <c r="F18" s="14">
        <f>C18*E18</f>
        <v/>
      </c>
    </row>
    <row r="19">
      <c r="A19" s="10" t="inlineStr">
        <is>
          <t>U 92x38x0,95</t>
        </is>
      </c>
      <c r="B19" s="44" t="n">
        <v>2310</v>
      </c>
      <c r="C19" s="45" t="n">
        <v>1</v>
      </c>
      <c r="D19" s="10" t="inlineStr">
        <is>
          <t>blocking</t>
        </is>
      </c>
      <c r="E19" s="46" t="n">
        <v>2.84</v>
      </c>
      <c r="F19" s="14">
        <f>C19*E19</f>
        <v/>
      </c>
    </row>
    <row r="20">
      <c r="A20" s="10" t="inlineStr">
        <is>
          <t>U 92x38x0,95</t>
        </is>
      </c>
      <c r="B20" s="44" t="n">
        <v>2000</v>
      </c>
      <c r="C20" s="45" t="n">
        <v>5</v>
      </c>
      <c r="D20" s="10" t="inlineStr">
        <is>
          <t>sill</t>
        </is>
      </c>
      <c r="E20" s="46" t="n">
        <v>2.459</v>
      </c>
      <c r="F20" s="14">
        <f>C20*E20</f>
        <v/>
      </c>
    </row>
    <row r="21">
      <c r="A21" s="10" t="inlineStr">
        <is>
          <t>U 92x38x0,95</t>
        </is>
      </c>
      <c r="B21" s="44" t="n">
        <v>1800</v>
      </c>
      <c r="C21" s="45" t="n">
        <v>25</v>
      </c>
      <c r="D21" s="10" t="inlineStr">
        <is>
          <t>blocking, track</t>
        </is>
      </c>
      <c r="E21" s="46" t="n">
        <v>2.213</v>
      </c>
      <c r="F21" s="14">
        <f>C21*E21</f>
        <v/>
      </c>
    </row>
    <row r="22">
      <c r="A22" s="10" t="inlineStr">
        <is>
          <t>U 92x38x0,95</t>
        </is>
      </c>
      <c r="B22" s="44" t="n">
        <v>1710</v>
      </c>
      <c r="C22" s="45" t="n">
        <v>1</v>
      </c>
      <c r="D22" s="10" t="inlineStr">
        <is>
          <t>track</t>
        </is>
      </c>
      <c r="E22" s="46" t="n">
        <v>2.102</v>
      </c>
      <c r="F22" s="14">
        <f>C22*E22</f>
        <v/>
      </c>
    </row>
    <row r="23">
      <c r="A23" s="10" t="inlineStr">
        <is>
          <t>U 92x38x0,95</t>
        </is>
      </c>
      <c r="B23" s="44" t="n">
        <v>1400</v>
      </c>
      <c r="C23" s="45" t="n">
        <v>8</v>
      </c>
      <c r="D23" s="10" t="inlineStr">
        <is>
          <t>sill</t>
        </is>
      </c>
      <c r="E23" s="46" t="n">
        <v>1.721</v>
      </c>
      <c r="F23" s="14">
        <f>C23*E23</f>
        <v/>
      </c>
    </row>
    <row r="24">
      <c r="A24" s="10" t="inlineStr">
        <is>
          <t>U 92x38x0,95</t>
        </is>
      </c>
      <c r="B24" s="44" t="n">
        <v>1200</v>
      </c>
      <c r="C24" s="45" t="n">
        <v>21</v>
      </c>
      <c r="D24" s="10" t="inlineStr">
        <is>
          <t>blocking, track</t>
        </is>
      </c>
      <c r="E24" s="46" t="n">
        <v>1.475</v>
      </c>
      <c r="F24" s="14">
        <f>C24*E24</f>
        <v/>
      </c>
    </row>
    <row r="25">
      <c r="A25" s="10" t="inlineStr">
        <is>
          <t>U 92x38x0,95</t>
        </is>
      </c>
      <c r="B25" s="44" t="n">
        <v>1000</v>
      </c>
      <c r="C25" s="45" t="n">
        <v>25</v>
      </c>
      <c r="D25" s="10" t="inlineStr">
        <is>
          <t>degrau, sill</t>
        </is>
      </c>
      <c r="E25" s="46" t="n">
        <v>1.229</v>
      </c>
      <c r="F25" s="14">
        <f>C25*E25</f>
        <v/>
      </c>
    </row>
    <row r="26">
      <c r="A26" s="10" t="inlineStr">
        <is>
          <t>U 92x38x0,95</t>
        </is>
      </c>
      <c r="B26" s="44" t="n">
        <v>800</v>
      </c>
      <c r="C26" s="45" t="n">
        <v>1</v>
      </c>
      <c r="D26" s="10" t="inlineStr">
        <is>
          <t>sill</t>
        </is>
      </c>
      <c r="E26" s="46" t="n">
        <v>0.983</v>
      </c>
      <c r="F26" s="14">
        <f>C26*E26</f>
        <v/>
      </c>
    </row>
    <row r="27">
      <c r="A27" s="10" t="inlineStr">
        <is>
          <t>U 92x38x0,95</t>
        </is>
      </c>
      <c r="B27" s="44" t="n">
        <v>600</v>
      </c>
      <c r="C27" s="45" t="n">
        <v>24</v>
      </c>
      <c r="D27" s="10" t="inlineStr">
        <is>
          <t>blocking, track</t>
        </is>
      </c>
      <c r="E27" s="46" t="n">
        <v>0.738</v>
      </c>
      <c r="F27" s="14">
        <f>C27*E27</f>
        <v/>
      </c>
    </row>
    <row r="28">
      <c r="A28" s="10" t="inlineStr">
        <is>
          <t>Ue 140x40x12x0,80</t>
        </is>
      </c>
      <c r="B28" s="44" t="n">
        <v>7200</v>
      </c>
      <c r="C28" s="45" t="n">
        <v>2</v>
      </c>
      <c r="D28" s="10" t="inlineStr">
        <is>
          <t>viga de borda</t>
        </is>
      </c>
      <c r="E28" s="46" t="n">
        <v>10.829</v>
      </c>
      <c r="F28" s="14">
        <f>C28*E28</f>
        <v/>
      </c>
    </row>
    <row r="29">
      <c r="A29" s="10" t="inlineStr">
        <is>
          <t>Ue 140x40x12x0,80</t>
        </is>
      </c>
      <c r="B29" s="44" t="n">
        <v>4800</v>
      </c>
      <c r="C29" s="45" t="n">
        <v>2</v>
      </c>
      <c r="D29" s="10" t="inlineStr">
        <is>
          <t>viga de borda</t>
        </is>
      </c>
      <c r="E29" s="46" t="n">
        <v>7.219</v>
      </c>
      <c r="F29" s="14">
        <f>C29*E29</f>
        <v/>
      </c>
    </row>
    <row r="30">
      <c r="A30" s="10" t="inlineStr">
        <is>
          <t>Ue 140x40x12x0,80</t>
        </is>
      </c>
      <c r="B30" s="44" t="n">
        <v>4500</v>
      </c>
      <c r="C30" s="45" t="n">
        <v>4</v>
      </c>
      <c r="D30" s="10" t="inlineStr">
        <is>
          <t>viga de borda</t>
        </is>
      </c>
      <c r="E30" s="46" t="n">
        <v>6.768</v>
      </c>
      <c r="F30" s="14">
        <f>C30*E30</f>
        <v/>
      </c>
    </row>
    <row r="31">
      <c r="A31" s="10" t="inlineStr">
        <is>
          <t>Ue 140x40x12x0,80</t>
        </is>
      </c>
      <c r="B31" s="44" t="n">
        <v>3600</v>
      </c>
      <c r="C31" s="45" t="n">
        <v>4</v>
      </c>
      <c r="D31" s="10" t="inlineStr">
        <is>
          <t>viga de borda</t>
        </is>
      </c>
      <c r="E31" s="46" t="n">
        <v>5.414</v>
      </c>
      <c r="F31" s="14">
        <f>C31*E31</f>
        <v/>
      </c>
    </row>
    <row r="32">
      <c r="A32" s="10" t="inlineStr">
        <is>
          <t>Ue 140x40x12x0,80</t>
        </is>
      </c>
      <c r="B32" s="44" t="n">
        <v>3000</v>
      </c>
      <c r="C32" s="45" t="n">
        <v>23</v>
      </c>
      <c r="D32" s="10" t="inlineStr">
        <is>
          <t>viga, viga de borda</t>
        </is>
      </c>
      <c r="E32" s="46" t="n">
        <v>4.512</v>
      </c>
      <c r="F32" s="14">
        <f>C32*E32</f>
        <v/>
      </c>
    </row>
    <row r="33">
      <c r="A33" s="10" t="inlineStr">
        <is>
          <t>Ue 140x40x12x0,80</t>
        </is>
      </c>
      <c r="B33" s="44" t="n">
        <v>2400</v>
      </c>
      <c r="C33" s="45" t="n">
        <v>15</v>
      </c>
      <c r="D33" s="10" t="inlineStr">
        <is>
          <t>viga</t>
        </is>
      </c>
      <c r="E33" s="46" t="n">
        <v>3.61</v>
      </c>
      <c r="F33" s="14">
        <f>C33*E33</f>
        <v/>
      </c>
    </row>
    <row r="34">
      <c r="A34" s="10" t="inlineStr">
        <is>
          <t>Ue 140x40x12x0,80</t>
        </is>
      </c>
      <c r="B34" s="44" t="n">
        <v>1200</v>
      </c>
      <c r="C34" s="45" t="n">
        <v>30</v>
      </c>
      <c r="D34" s="10" t="inlineStr">
        <is>
          <t>viga</t>
        </is>
      </c>
      <c r="E34" s="46" t="n">
        <v>1.805</v>
      </c>
      <c r="F34" s="14">
        <f>C34*E34</f>
        <v/>
      </c>
    </row>
    <row r="35">
      <c r="A35" s="10" t="inlineStr">
        <is>
          <t>Ue 140x40x12x1,25</t>
        </is>
      </c>
      <c r="B35" s="44" t="n">
        <v>4800</v>
      </c>
      <c r="C35" s="45" t="n">
        <v>2</v>
      </c>
      <c r="D35" s="10" t="inlineStr">
        <is>
          <t>viga de borda</t>
        </is>
      </c>
      <c r="E35" s="46" t="n">
        <v>11.109</v>
      </c>
      <c r="F35" s="14">
        <f>C35*E35</f>
        <v/>
      </c>
    </row>
    <row r="36">
      <c r="A36" s="10" t="inlineStr">
        <is>
          <t>Ue 140x40x12x1,25</t>
        </is>
      </c>
      <c r="B36" s="44" t="n">
        <v>3000</v>
      </c>
      <c r="C36" s="45" t="n">
        <v>2</v>
      </c>
      <c r="D36" s="10" t="inlineStr">
        <is>
          <t>viga de borda</t>
        </is>
      </c>
      <c r="E36" s="46" t="n">
        <v>6.943</v>
      </c>
      <c r="F36" s="14">
        <f>C36*E36</f>
        <v/>
      </c>
    </row>
    <row r="37">
      <c r="A37" s="10" t="inlineStr">
        <is>
          <t>Ue 140x40x12x1,25</t>
        </is>
      </c>
      <c r="B37" s="44" t="n">
        <v>2400</v>
      </c>
      <c r="C37" s="45" t="n">
        <v>15</v>
      </c>
      <c r="D37" s="10" t="inlineStr">
        <is>
          <t>viga</t>
        </is>
      </c>
      <c r="E37" s="46" t="n">
        <v>5.554</v>
      </c>
      <c r="F37" s="14">
        <f>C37*E37</f>
        <v/>
      </c>
    </row>
    <row r="38">
      <c r="A38" s="10" t="inlineStr">
        <is>
          <t>Ue 200x40x12x0,95</t>
        </is>
      </c>
      <c r="B38" s="44" t="n">
        <v>5400</v>
      </c>
      <c r="C38" s="45" t="n">
        <v>4</v>
      </c>
      <c r="D38" s="10" t="inlineStr">
        <is>
          <t>viga de borda</t>
        </is>
      </c>
      <c r="E38" s="46" t="n">
        <v>12.027</v>
      </c>
      <c r="F38" s="14">
        <f>C38*E38</f>
        <v/>
      </c>
    </row>
    <row r="39">
      <c r="A39" s="10" t="inlineStr">
        <is>
          <t>Ue 200x40x12x0,95</t>
        </is>
      </c>
      <c r="B39" s="44" t="n">
        <v>4800</v>
      </c>
      <c r="C39" s="45" t="n">
        <v>20</v>
      </c>
      <c r="D39" s="10" t="inlineStr">
        <is>
          <t>viga</t>
        </is>
      </c>
      <c r="E39" s="46" t="n">
        <v>10.69</v>
      </c>
      <c r="F39" s="14">
        <f>C39*E39</f>
        <v/>
      </c>
    </row>
    <row r="40">
      <c r="A40" s="10" t="inlineStr">
        <is>
          <t>Ue 200x40x12x1,25</t>
        </is>
      </c>
      <c r="B40" s="44" t="n">
        <v>7800</v>
      </c>
      <c r="C40" s="45" t="n">
        <v>2</v>
      </c>
      <c r="D40" s="10" t="inlineStr">
        <is>
          <t>viga de borda</t>
        </is>
      </c>
      <c r="E40" s="46" t="n">
        <v>22.644</v>
      </c>
      <c r="F40" s="14">
        <f>C40*E40</f>
        <v/>
      </c>
    </row>
    <row r="41">
      <c r="A41" s="10" t="inlineStr">
        <is>
          <t>Ue 200x40x12x1,25</t>
        </is>
      </c>
      <c r="B41" s="44" t="n">
        <v>6000</v>
      </c>
      <c r="C41" s="45" t="n">
        <v>14</v>
      </c>
      <c r="D41" s="10" t="inlineStr">
        <is>
          <t>viga</t>
        </is>
      </c>
      <c r="E41" s="46" t="n">
        <v>17.419</v>
      </c>
      <c r="F41" s="14">
        <f>C41*E41</f>
        <v/>
      </c>
    </row>
    <row r="42">
      <c r="A42" s="10" t="inlineStr">
        <is>
          <t>Ue 250x40x12x1,25</t>
        </is>
      </c>
      <c r="B42" s="44" t="n">
        <v>3012</v>
      </c>
      <c r="C42" s="45" t="n">
        <v>4</v>
      </c>
      <c r="D42" s="10" t="inlineStr">
        <is>
          <t>viga de escada</t>
        </is>
      </c>
      <c r="E42" s="46" t="n">
        <v>10.222</v>
      </c>
      <c r="F42" s="14">
        <f>C42*E42</f>
        <v/>
      </c>
    </row>
    <row r="43">
      <c r="A43" s="10" t="inlineStr">
        <is>
          <t>Ue 250x40x12x2,25</t>
        </is>
      </c>
      <c r="B43" s="44" t="n">
        <v>5400</v>
      </c>
      <c r="C43" s="45" t="n">
        <v>4</v>
      </c>
      <c r="D43" s="10" t="inlineStr">
        <is>
          <t>viga de borda</t>
        </is>
      </c>
      <c r="E43" s="46" t="n">
        <v>32.366</v>
      </c>
      <c r="F43" s="14">
        <f>C43*E43</f>
        <v/>
      </c>
    </row>
    <row r="44">
      <c r="A44" s="10" t="inlineStr">
        <is>
          <t>Ue 250x40x12x2,25</t>
        </is>
      </c>
      <c r="B44" s="44" t="n">
        <v>4800</v>
      </c>
      <c r="C44" s="45" t="n">
        <v>20</v>
      </c>
      <c r="D44" s="10" t="inlineStr">
        <is>
          <t>viga</t>
        </is>
      </c>
      <c r="E44" s="46" t="n">
        <v>28.77</v>
      </c>
      <c r="F44" s="14">
        <f>C44*E44</f>
        <v/>
      </c>
    </row>
    <row r="45">
      <c r="A45" s="10" t="inlineStr">
        <is>
          <t>Ue 250x40x15x3,00</t>
        </is>
      </c>
      <c r="B45" s="44" t="n">
        <v>7800</v>
      </c>
      <c r="C45" s="45" t="n">
        <v>2</v>
      </c>
      <c r="D45" s="10" t="inlineStr">
        <is>
          <t>viga de borda</t>
        </is>
      </c>
      <c r="E45" s="46" t="n">
        <v>62.539</v>
      </c>
      <c r="F45" s="14">
        <f>C45*E45</f>
        <v/>
      </c>
    </row>
    <row r="46">
      <c r="A46" s="10" t="inlineStr">
        <is>
          <t>Ue 250x40x15x3,00</t>
        </is>
      </c>
      <c r="B46" s="44" t="n">
        <v>6000</v>
      </c>
      <c r="C46" s="45" t="n">
        <v>20</v>
      </c>
      <c r="D46" s="10" t="inlineStr">
        <is>
          <t>viga</t>
        </is>
      </c>
      <c r="E46" s="46" t="n">
        <v>48.107</v>
      </c>
      <c r="F46" s="14">
        <f>C46*E46</f>
        <v/>
      </c>
    </row>
    <row r="47">
      <c r="A47" s="10" t="inlineStr">
        <is>
          <t>Ue 90x40x12x0,95</t>
        </is>
      </c>
      <c r="B47" s="44" t="n">
        <v>2900</v>
      </c>
      <c r="C47" s="45" t="n">
        <v>363</v>
      </c>
      <c r="D47" s="10" t="inlineStr">
        <is>
          <t>king stud, stud</t>
        </is>
      </c>
      <c r="E47" s="46" t="n">
        <v>4.08</v>
      </c>
      <c r="F47" s="14">
        <f>C47*E47</f>
        <v/>
      </c>
    </row>
    <row r="48">
      <c r="A48" s="10" t="inlineStr">
        <is>
          <t>Ue 90x40x12x0,95</t>
        </is>
      </c>
      <c r="B48" s="44" t="n">
        <v>2800</v>
      </c>
      <c r="C48" s="45" t="n">
        <v>2</v>
      </c>
      <c r="D48" s="10" t="inlineStr">
        <is>
          <t>jack stud</t>
        </is>
      </c>
      <c r="E48" s="46" t="n">
        <v>3.939</v>
      </c>
      <c r="F48" s="14">
        <f>C48*E48</f>
        <v/>
      </c>
    </row>
    <row r="49">
      <c r="A49" s="10" t="inlineStr">
        <is>
          <t>Ue 90x40x12x0,95</t>
        </is>
      </c>
      <c r="B49" s="44" t="n">
        <v>2400</v>
      </c>
      <c r="C49" s="45" t="n">
        <v>20</v>
      </c>
      <c r="D49" s="10" t="inlineStr">
        <is>
          <t>jack stud</t>
        </is>
      </c>
      <c r="E49" s="46" t="n">
        <v>3.376</v>
      </c>
      <c r="F49" s="14">
        <f>C49*E49</f>
        <v/>
      </c>
    </row>
    <row r="50">
      <c r="A50" s="10" t="inlineStr">
        <is>
          <t>Ue 90x40x12x0,95</t>
        </is>
      </c>
      <c r="B50" s="44" t="n">
        <v>2300</v>
      </c>
      <c r="C50" s="45" t="n">
        <v>24</v>
      </c>
      <c r="D50" s="10" t="inlineStr">
        <is>
          <t>jack stud</t>
        </is>
      </c>
      <c r="E50" s="46" t="n">
        <v>3.236</v>
      </c>
      <c r="F50" s="14">
        <f>C50*E50</f>
        <v/>
      </c>
    </row>
    <row r="51">
      <c r="A51" s="10" t="inlineStr">
        <is>
          <t>Ue 90x40x12x0,95</t>
        </is>
      </c>
      <c r="B51" s="44" t="n">
        <v>2100</v>
      </c>
      <c r="C51" s="45" t="n">
        <v>26</v>
      </c>
      <c r="D51" s="10" t="inlineStr">
        <is>
          <t>jack stud</t>
        </is>
      </c>
      <c r="E51" s="46" t="n">
        <v>2.954</v>
      </c>
      <c r="F51" s="14">
        <f>C51*E51</f>
        <v/>
      </c>
    </row>
    <row r="52">
      <c r="A52" s="10" t="inlineStr">
        <is>
          <t>Ue 90x40x12x0,95</t>
        </is>
      </c>
      <c r="B52" s="44" t="n">
        <v>1408</v>
      </c>
      <c r="C52" s="45" t="n">
        <v>9</v>
      </c>
      <c r="D52" s="10" t="inlineStr">
        <is>
          <t>cripple inferior</t>
        </is>
      </c>
      <c r="E52" s="46" t="n">
        <v>1.981</v>
      </c>
      <c r="F52" s="14">
        <f>C52*E52</f>
        <v/>
      </c>
    </row>
    <row r="53">
      <c r="A53" s="10" t="inlineStr">
        <is>
          <t>Ue 90x40x12x0,95</t>
        </is>
      </c>
      <c r="B53" s="44" t="n">
        <v>1008</v>
      </c>
      <c r="C53" s="45" t="n">
        <v>39</v>
      </c>
      <c r="D53" s="10" t="inlineStr">
        <is>
          <t>cripple inferior</t>
        </is>
      </c>
      <c r="E53" s="46" t="n">
        <v>1.418</v>
      </c>
      <c r="F53" s="14">
        <f>C53*E53</f>
        <v/>
      </c>
    </row>
    <row r="54">
      <c r="A54" s="10" t="inlineStr">
        <is>
          <t>Ue 90x40x12x0,95</t>
        </is>
      </c>
      <c r="B54" s="44" t="n">
        <v>710</v>
      </c>
      <c r="C54" s="45" t="n">
        <v>19</v>
      </c>
      <c r="D54" s="10" t="inlineStr">
        <is>
          <t>cripple superior</t>
        </is>
      </c>
      <c r="E54" s="46" t="n">
        <v>0.999</v>
      </c>
      <c r="F54" s="14">
        <f>C54*E54</f>
        <v/>
      </c>
    </row>
    <row r="55">
      <c r="A55" s="10" t="inlineStr">
        <is>
          <t>Ue 90x40x12x0,95</t>
        </is>
      </c>
      <c r="B55" s="44" t="n">
        <v>510</v>
      </c>
      <c r="C55" s="45" t="n">
        <v>39</v>
      </c>
      <c r="D55" s="10" t="inlineStr">
        <is>
          <t>cripple superior</t>
        </is>
      </c>
      <c r="E55" s="46" t="n">
        <v>0.717</v>
      </c>
      <c r="F55" s="14">
        <f>C55*E55</f>
        <v/>
      </c>
    </row>
    <row r="56">
      <c r="A56" s="10" t="inlineStr">
        <is>
          <t>Ue 90x40x12x0,95</t>
        </is>
      </c>
      <c r="B56" s="44" t="n">
        <v>410</v>
      </c>
      <c r="C56" s="45" t="n">
        <v>35</v>
      </c>
      <c r="D56" s="10" t="inlineStr">
        <is>
          <t>cripple superior</t>
        </is>
      </c>
      <c r="E56" s="46" t="n">
        <v>0.577</v>
      </c>
      <c r="F56" s="14">
        <f>C56*E56</f>
        <v/>
      </c>
    </row>
    <row r="57">
      <c r="A57" s="10" t="inlineStr">
        <is>
          <t>Ue 90x40x12x0,95</t>
        </is>
      </c>
      <c r="B57" s="44" t="n">
        <v>210</v>
      </c>
      <c r="C57" s="45" t="n">
        <v>12</v>
      </c>
      <c r="D57" s="10" t="inlineStr">
        <is>
          <t>cripple superior</t>
        </is>
      </c>
      <c r="E57" s="46" t="n">
        <v>0.295</v>
      </c>
      <c r="F57" s="14">
        <f>C57*E57</f>
        <v/>
      </c>
    </row>
    <row r="58">
      <c r="A58" s="10" t="inlineStr">
        <is>
          <t>Ue 90x40x12x1,25</t>
        </is>
      </c>
      <c r="B58" s="44" t="n">
        <v>6000</v>
      </c>
      <c r="C58" s="45" t="n">
        <v>1</v>
      </c>
      <c r="D58" s="10" t="inlineStr">
        <is>
          <t>header</t>
        </is>
      </c>
      <c r="E58" s="46" t="n">
        <v>10.942</v>
      </c>
      <c r="F58" s="14">
        <f>C58*E58</f>
        <v/>
      </c>
    </row>
    <row r="59">
      <c r="A59" s="10" t="inlineStr">
        <is>
          <t>Ue 90x40x12x1,25</t>
        </is>
      </c>
      <c r="B59" s="44" t="n">
        <v>5600</v>
      </c>
      <c r="C59" s="45" t="n">
        <v>1</v>
      </c>
      <c r="D59" s="10" t="inlineStr">
        <is>
          <t>header</t>
        </is>
      </c>
      <c r="E59" s="46" t="n">
        <v>10.213</v>
      </c>
      <c r="F59" s="14">
        <f>C59*E59</f>
        <v/>
      </c>
    </row>
    <row r="60">
      <c r="A60" s="10" t="inlineStr">
        <is>
          <t>Ue 90x40x12x1,25</t>
        </is>
      </c>
      <c r="B60" s="44" t="n">
        <v>2900</v>
      </c>
      <c r="C60" s="45" t="n">
        <v>6</v>
      </c>
      <c r="D60" s="10" t="inlineStr">
        <is>
          <t>king stud</t>
        </is>
      </c>
      <c r="E60" s="46" t="n">
        <v>5.289</v>
      </c>
      <c r="F60" s="14">
        <f>C60*E60</f>
        <v/>
      </c>
    </row>
    <row r="61">
      <c r="A61" s="10" t="inlineStr">
        <is>
          <t>Ue 90x40x12x1,25</t>
        </is>
      </c>
      <c r="B61" s="44" t="n">
        <v>2600</v>
      </c>
      <c r="C61" s="45" t="n">
        <v>5</v>
      </c>
      <c r="D61" s="10" t="inlineStr">
        <is>
          <t>header, jack stud</t>
        </is>
      </c>
      <c r="E61" s="46" t="n">
        <v>4.742</v>
      </c>
      <c r="F61" s="14">
        <f>C61*E61</f>
        <v/>
      </c>
    </row>
    <row r="62">
      <c r="A62" s="10" t="inlineStr">
        <is>
          <t>Ue 90x40x12x1,25</t>
        </is>
      </c>
      <c r="B62" s="44" t="n">
        <v>2500</v>
      </c>
      <c r="C62" s="45" t="n">
        <v>1</v>
      </c>
      <c r="D62" s="10" t="inlineStr">
        <is>
          <t>header</t>
        </is>
      </c>
      <c r="E62" s="46" t="n">
        <v>4.559</v>
      </c>
      <c r="F62" s="14">
        <f>C62*E62</f>
        <v/>
      </c>
    </row>
    <row r="63">
      <c r="A63" s="10" t="inlineStr">
        <is>
          <t>Ue 90x40x12x1,25</t>
        </is>
      </c>
      <c r="B63" s="44" t="n">
        <v>2300</v>
      </c>
      <c r="C63" s="45" t="n">
        <v>2</v>
      </c>
      <c r="D63" s="10" t="inlineStr">
        <is>
          <t>jack stud</t>
        </is>
      </c>
      <c r="E63" s="46" t="n">
        <v>4.195</v>
      </c>
      <c r="F63" s="14">
        <f>C63*E63</f>
        <v/>
      </c>
    </row>
    <row r="64">
      <c r="A64" s="10" t="inlineStr">
        <is>
          <t>Ue 90x40x12x1,25</t>
        </is>
      </c>
      <c r="B64" s="44" t="n">
        <v>2100</v>
      </c>
      <c r="C64" s="45" t="n">
        <v>2</v>
      </c>
      <c r="D64" s="10" t="inlineStr">
        <is>
          <t>jack stud</t>
        </is>
      </c>
      <c r="E64" s="46" t="n">
        <v>3.83</v>
      </c>
      <c r="F64" s="14">
        <f>C64*E64</f>
        <v/>
      </c>
    </row>
    <row r="65">
      <c r="A65" s="10" t="inlineStr">
        <is>
          <t>Ue 90x40x12x1,25</t>
        </is>
      </c>
      <c r="B65" s="44" t="n">
        <v>2000</v>
      </c>
      <c r="C65" s="45" t="n">
        <v>5</v>
      </c>
      <c r="D65" s="10" t="inlineStr">
        <is>
          <t>header</t>
        </is>
      </c>
      <c r="E65" s="46" t="n">
        <v>3.647</v>
      </c>
      <c r="F65" s="14">
        <f>C65*E65</f>
        <v/>
      </c>
    </row>
    <row r="66">
      <c r="A66" s="10" t="inlineStr">
        <is>
          <t>Ue 90x40x12x1,25</t>
        </is>
      </c>
      <c r="B66" s="44" t="n">
        <v>1400</v>
      </c>
      <c r="C66" s="45" t="n">
        <v>8</v>
      </c>
      <c r="D66" s="10" t="inlineStr">
        <is>
          <t>header</t>
        </is>
      </c>
      <c r="E66" s="46" t="n">
        <v>2.553</v>
      </c>
      <c r="F66" s="14">
        <f>C66*E66</f>
        <v/>
      </c>
    </row>
    <row r="67">
      <c r="A67" s="10" t="inlineStr">
        <is>
          <t>Ue 90x40x12x1,25</t>
        </is>
      </c>
      <c r="B67" s="44" t="n">
        <v>1200</v>
      </c>
      <c r="C67" s="45" t="n">
        <v>1</v>
      </c>
      <c r="D67" s="10" t="inlineStr">
        <is>
          <t>header</t>
        </is>
      </c>
      <c r="E67" s="46" t="n">
        <v>2.188</v>
      </c>
      <c r="F67" s="14">
        <f>C67*E67</f>
        <v/>
      </c>
    </row>
    <row r="68">
      <c r="A68" s="10" t="inlineStr">
        <is>
          <t>Ue 90x40x12x1,25</t>
        </is>
      </c>
      <c r="B68" s="44" t="n">
        <v>1100</v>
      </c>
      <c r="C68" s="45" t="n">
        <v>13</v>
      </c>
      <c r="D68" s="10" t="inlineStr">
        <is>
          <t>header</t>
        </is>
      </c>
      <c r="E68" s="46" t="n">
        <v>2.006</v>
      </c>
      <c r="F68" s="14">
        <f>C68*E68</f>
        <v/>
      </c>
    </row>
    <row r="69">
      <c r="A69" s="10" t="inlineStr">
        <is>
          <t>Ue 90x40x12x1,25</t>
        </is>
      </c>
      <c r="B69" s="44" t="n">
        <v>1000</v>
      </c>
      <c r="C69" s="45" t="n">
        <v>5</v>
      </c>
      <c r="D69" s="10" t="inlineStr">
        <is>
          <t>header</t>
        </is>
      </c>
      <c r="E69" s="46" t="n">
        <v>1.824</v>
      </c>
      <c r="F69" s="14">
        <f>C69*E69</f>
        <v/>
      </c>
    </row>
    <row r="70">
      <c r="A70" s="10" t="inlineStr">
        <is>
          <t>Ue 90x40x12x1,25</t>
        </is>
      </c>
      <c r="B70" s="44" t="n">
        <v>800</v>
      </c>
      <c r="C70" s="45" t="n">
        <v>1</v>
      </c>
      <c r="D70" s="10" t="inlineStr">
        <is>
          <t>header</t>
        </is>
      </c>
      <c r="E70" s="46" t="n">
        <v>1.459</v>
      </c>
      <c r="F70" s="14">
        <f>C70*E70</f>
        <v/>
      </c>
    </row>
    <row r="71">
      <c r="A71" s="22" t="n"/>
      <c r="B71" s="22" t="n"/>
      <c r="C71" s="28">
        <f>SUM(C5:C70)</f>
        <v/>
      </c>
      <c r="D71" s="47" t="inlineStr">
        <is>
          <t>TOTAL</t>
        </is>
      </c>
      <c r="E71" s="22" t="n"/>
      <c r="F71" s="48">
        <f>SUM(F5:F70)</f>
        <v/>
      </c>
    </row>
    <row r="73">
      <c r="A73" s="3" t="inlineStr">
        <is>
          <t>BARRAS POR PERFIL</t>
        </is>
      </c>
    </row>
    <row r="74">
      <c r="A74" s="26" t="inlineStr">
        <is>
          <t>PERFIL</t>
        </is>
      </c>
      <c r="B74" s="26" t="inlineStr">
        <is>
          <t>BARRAS DE 6.000 mm</t>
        </is>
      </c>
      <c r="C74" s="26" t="inlineStr">
        <is>
          <t>PEÇAS CORTADAS</t>
        </is>
      </c>
    </row>
    <row r="75">
      <c r="A75" s="10" t="inlineStr">
        <is>
          <t>Fita 38x0,80</t>
        </is>
      </c>
      <c r="B75" s="45" t="n">
        <v>38</v>
      </c>
      <c r="C75" s="18" t="n">
        <v>38</v>
      </c>
    </row>
    <row r="76">
      <c r="A76" s="10" t="inlineStr">
        <is>
          <t>U 92x38x0,95</t>
        </is>
      </c>
      <c r="B76" s="45" t="n">
        <v>169</v>
      </c>
      <c r="C76" s="18" t="n">
        <v>335</v>
      </c>
    </row>
    <row r="77">
      <c r="A77" s="10" t="inlineStr">
        <is>
          <t>Ue 140x40x12x0,80</t>
        </is>
      </c>
      <c r="B77" s="45" t="n">
        <v>35</v>
      </c>
      <c r="C77" s="18" t="n">
        <v>80</v>
      </c>
    </row>
    <row r="78">
      <c r="A78" s="10" t="inlineStr">
        <is>
          <t>Ue 140x40x12x1,25</t>
        </is>
      </c>
      <c r="B78" s="45" t="n">
        <v>11</v>
      </c>
      <c r="C78" s="18" t="n">
        <v>19</v>
      </c>
    </row>
    <row r="79">
      <c r="A79" s="10" t="inlineStr">
        <is>
          <t>Ue 200x40x12x0,95</t>
        </is>
      </c>
      <c r="B79" s="45" t="n">
        <v>24</v>
      </c>
      <c r="C79" s="18" t="n">
        <v>24</v>
      </c>
    </row>
    <row r="80">
      <c r="A80" s="10" t="inlineStr">
        <is>
          <t>Ue 200x40x12x1,25</t>
        </is>
      </c>
      <c r="B80" s="45" t="n">
        <v>14</v>
      </c>
      <c r="C80" s="18" t="n">
        <v>16</v>
      </c>
    </row>
    <row r="81">
      <c r="A81" s="10" t="inlineStr">
        <is>
          <t>Ue 250x40x12x1,25</t>
        </is>
      </c>
      <c r="B81" s="45" t="n">
        <v>4</v>
      </c>
      <c r="C81" s="18" t="n">
        <v>4</v>
      </c>
    </row>
    <row r="82">
      <c r="A82" s="10" t="inlineStr">
        <is>
          <t>Ue 250x40x12x2,25</t>
        </is>
      </c>
      <c r="B82" s="45" t="n">
        <v>24</v>
      </c>
      <c r="C82" s="18" t="n">
        <v>24</v>
      </c>
    </row>
    <row r="83">
      <c r="A83" s="10" t="inlineStr">
        <is>
          <t>Ue 250x40x15x3,00</t>
        </is>
      </c>
      <c r="B83" s="45" t="n">
        <v>20</v>
      </c>
      <c r="C83" s="18" t="n">
        <v>22</v>
      </c>
    </row>
    <row r="84">
      <c r="A84" s="10" t="inlineStr">
        <is>
          <t>Ue 90x40x12x0,95</t>
        </is>
      </c>
      <c r="B84" s="45" t="n">
        <v>228</v>
      </c>
      <c r="C84" s="18" t="n">
        <v>588</v>
      </c>
    </row>
    <row r="85">
      <c r="A85" s="10" t="inlineStr">
        <is>
          <t>Ue 90x40x12x1,25</t>
        </is>
      </c>
      <c r="B85" s="45" t="n">
        <v>18</v>
      </c>
      <c r="C85" s="18" t="n">
        <v>51</v>
      </c>
    </row>
    <row r="87">
      <c r="A87" s="2" t="inlineStr">
        <is>
          <t>Esta lista NÃO substitui o nesting codificado do fabricante (pendência 8): ela é de estudo, e o fabricante corta pela dele.</t>
        </is>
      </c>
    </row>
  </sheetData>
  <autoFilter ref="A4:F7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2026-09-22T23:09:34Z</dcterms:created>
  <dcterms:modified xsi:type="dcterms:W3CDTF">2026-09-22T23:09:34Z</dcterms:modified>
</cp:coreProperties>
</file>