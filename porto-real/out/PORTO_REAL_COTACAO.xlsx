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'COTAÇÃO'!$A$3:$V$153</definedName>
    <definedName name="_xlnm._FilterDatabase" localSheetId="3" hidden="1">'ESPECIFICAÇÕES'!$A$3:$I$153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descricao; DN50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7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0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0" authorId="0" shapeId="0">
      <text>
        <t>hora de equipe, com encargos e EPI
LACUNA: convencao coletiva vigente e composicao de encargos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5" authorId="0" shapeId="0">
      <text>
        <t>tinta e mao de obra conforme especificacao de acabamento; 2 demaos sobre selador; rendimento declarado na quantidade
NORMAS: NBR 11702, NBR 13245</t>
      </text>
    </comment>
    <comment ref="C9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7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9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3" authorId="0" shapeId="0">
      <text>
        <t>tinta e mao de obra conforme especificacao de acabamento; 2 demaos sobre selador; rendimento declarado na quantidade
NORMAS: NBR 11702, NBR 13245</t>
      </text>
    </comment>
    <comment ref="C10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6" authorId="0" shapeId="0">
      <text>
        <t>tinta e mao de obra conforme especificacao de acabamento; 2 demaos sobre selador; rendimento declarado na quantidade
NORMAS: NBR 11702, NBR 13245</t>
      </text>
    </comment>
    <comment ref="C107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0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9" authorId="0" shapeId="0">
      <text>
        <t>equipamento novo, com garantia de fabrica e instalacao por credenciado
LACUNA: marca e modelo: a capacidade esta dimensionada, a escolha do equipamento e do proprietario</t>
      </text>
    </comment>
    <comment ref="C12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1" authorId="0" shapeId="0">
      <text>
        <t>equipamento novo, com garantia de fabrica e instalacao por credenciado
LACUNA: marca e modelo: a capacidade esta dimensionada, a escolha do equipamento e do proprietario</t>
      </text>
    </comment>
    <comment ref="C12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4" authorId="0" shapeId="0">
      <text>
        <t>tinta e mao de obra conforme especificacao de acabamento; 2 demaos sobre selador; rendimento declarado na quantidade
NORMAS: NBR 11702, NBR 13245</t>
      </text>
    </comment>
    <comment ref="C12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7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8" authorId="0" shapeId="0">
      <text>
        <t>equipamento novo, com garantia de fabrica e instalacao por credenciado
LACUNA: marca e modelo: a capacidade esta dimensionada, a escolha do equipamento e do proprietario</t>
      </text>
    </comment>
    <comment ref="C12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3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9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3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R61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57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COUNTIF(V4:V153,"COMPLETO")&amp;" de "&amp;150&amp;" itens com 5 propostas"</f>
        <v/>
      </c>
      <c r="T2" s="7">
        <f>IF(I154=0,0,SUMIF(V4:V153,"COMPLETO",I4:I153)/I154)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18.72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2834.4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885.8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188.1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190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MEP-ISOL</t>
        </is>
      </c>
      <c r="B55" s="10" t="inlineStr">
        <is>
          <t>instalacao</t>
        </is>
      </c>
      <c r="C55" s="11" t="inlineStr">
        <is>
          <t>Isolamento de linha</t>
        </is>
      </c>
      <c r="D55" s="10" t="inlineStr">
        <is>
          <t>m</t>
        </is>
      </c>
      <c r="E55" s="12" t="n">
        <v>112</v>
      </c>
      <c r="F55" s="13" t="n">
        <v>0</v>
      </c>
      <c r="G55" s="14">
        <f>E55*(1+F55)</f>
        <v/>
      </c>
      <c r="H55" s="15" t="n">
        <v>14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MEP-DISJ</t>
        </is>
      </c>
      <c r="B56" s="10" t="inlineStr">
        <is>
          <t>instalacao</t>
        </is>
      </c>
      <c r="C56" s="11" t="inlineStr">
        <is>
          <t>Disjuntor</t>
        </is>
      </c>
      <c r="D56" s="10" t="inlineStr">
        <is>
          <t>un</t>
        </is>
      </c>
      <c r="E56" s="12" t="n">
        <v>36</v>
      </c>
      <c r="F56" s="13" t="n">
        <v>0</v>
      </c>
      <c r="G56" s="14">
        <f>E56*(1+F56)</f>
        <v/>
      </c>
      <c r="H56" s="15" t="n">
        <v>38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MEP-ESGO50</t>
        </is>
      </c>
      <c r="B57" s="10" t="inlineStr">
        <is>
          <t>instalacao</t>
        </is>
      </c>
      <c r="C57" s="11" t="inlineStr">
        <is>
          <t>Tubo esgoto DN50</t>
        </is>
      </c>
      <c r="D57" s="10" t="inlineStr">
        <is>
          <t>m</t>
        </is>
      </c>
      <c r="E57" s="12" t="n">
        <v>50.6</v>
      </c>
      <c r="F57" s="13" t="n">
        <v>0</v>
      </c>
      <c r="G57" s="14">
        <f>E57*(1+F57)</f>
        <v/>
      </c>
      <c r="H57" s="15" t="n">
        <v>26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112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2" t="n">
        <v>155.4</v>
      </c>
      <c r="F65" s="13" t="n">
        <v>0</v>
      </c>
      <c r="G65" s="14">
        <f>E65*(1+F65)</f>
        <v/>
      </c>
      <c r="H65" s="15" t="n">
        <v>88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2" t="n">
        <v>205.5</v>
      </c>
      <c r="F66" s="13" t="n">
        <v>0</v>
      </c>
      <c r="G66" s="14">
        <f>E66*(1+F66)</f>
        <v/>
      </c>
      <c r="H66" s="15" t="n">
        <v>42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2" t="n">
        <v>192</v>
      </c>
      <c r="F67" s="13" t="n">
        <v>0</v>
      </c>
      <c r="G67" s="14">
        <f>E67*(1+F67)</f>
        <v/>
      </c>
      <c r="H67" s="15" t="n">
        <v>34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2" t="n">
        <v>2</v>
      </c>
      <c r="F69" s="13" t="n">
        <v>0</v>
      </c>
      <c r="G69" s="14">
        <f>E69*(1+F69)</f>
        <v/>
      </c>
      <c r="H69" s="15" t="n">
        <v>2400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2" t="n">
        <v>194.3</v>
      </c>
      <c r="F70" s="13" t="n">
        <v>0</v>
      </c>
      <c r="G70" s="14">
        <f>E70*(1+F70)</f>
        <v/>
      </c>
      <c r="H70" s="15" t="n">
        <v>22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2" t="n">
        <v>54.8</v>
      </c>
      <c r="F71" s="13" t="n">
        <v>0</v>
      </c>
      <c r="G71" s="14">
        <f>E71*(1+F71)</f>
        <v/>
      </c>
      <c r="H71" s="15" t="n">
        <v>68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2" t="n">
        <v>239.9</v>
      </c>
      <c r="F72" s="13" t="n">
        <v>0</v>
      </c>
      <c r="G72" s="14">
        <f>E72*(1+F72)</f>
        <v/>
      </c>
      <c r="H72" s="15" t="n">
        <v>14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2" t="n">
        <v>211.2</v>
      </c>
      <c r="F73" s="13" t="n">
        <v>0</v>
      </c>
      <c r="G73" s="14">
        <f>E73*(1+F73)</f>
        <v/>
      </c>
      <c r="H73" s="15" t="n">
        <v>9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2" t="n">
        <v>33.6</v>
      </c>
      <c r="F74" s="13" t="n">
        <v>0</v>
      </c>
      <c r="G74" s="14">
        <f>E74*(1+F74)</f>
        <v/>
      </c>
      <c r="H74" s="15" t="n">
        <v>38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2" t="n">
        <v>66</v>
      </c>
      <c r="F75" s="13" t="n">
        <v>0</v>
      </c>
      <c r="G75" s="14">
        <f>E75*(1+F75)</f>
        <v/>
      </c>
      <c r="H75" s="15" t="n">
        <v>6.5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2" t="n">
        <v>3118</v>
      </c>
      <c r="F76" s="13" t="n">
        <v>0</v>
      </c>
      <c r="G76" s="14">
        <f>E76*(1+F76)</f>
        <v/>
      </c>
      <c r="H76" s="15" t="n">
        <v>4.8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2" t="n">
        <v>33.12</v>
      </c>
      <c r="F77" s="13" t="n">
        <v>0</v>
      </c>
      <c r="G77" s="14">
        <f>E77*(1+F77)</f>
        <v/>
      </c>
      <c r="H77" s="15" t="n">
        <v>320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2" t="n">
        <v>4.57</v>
      </c>
      <c r="F78" s="13" t="n">
        <v>0</v>
      </c>
      <c r="G78" s="14">
        <f>E78*(1+F78)</f>
        <v/>
      </c>
      <c r="H78" s="15" t="n">
        <v>1450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2" t="n">
        <v>43.2</v>
      </c>
      <c r="F79" s="13" t="n">
        <v>0</v>
      </c>
      <c r="G79" s="14">
        <f>E79*(1+F79)</f>
        <v/>
      </c>
      <c r="H79" s="15" t="n">
        <v>148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2" t="n">
        <v>30.43</v>
      </c>
      <c r="F80" s="13" t="n">
        <v>0</v>
      </c>
      <c r="G80" s="14">
        <f>E80*(1+F80)</f>
        <v/>
      </c>
      <c r="H80" s="15" t="n">
        <v>210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2" t="n">
        <v>24</v>
      </c>
      <c r="F81" s="13" t="n">
        <v>0</v>
      </c>
      <c r="G81" s="14">
        <f>E81*(1+F81)</f>
        <v/>
      </c>
      <c r="H81" s="15" t="n">
        <v>240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2" t="n">
        <v>137.16</v>
      </c>
      <c r="F82" s="13" t="n">
        <v>0</v>
      </c>
      <c r="G82" s="14">
        <f>E82*(1+F82)</f>
        <v/>
      </c>
      <c r="H82" s="15" t="n">
        <v>38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2" t="n">
        <v>249.5</v>
      </c>
      <c r="F83" s="13" t="n">
        <v>0</v>
      </c>
      <c r="G83" s="14">
        <f>E83*(1+F83)</f>
        <v/>
      </c>
      <c r="H83" s="15" t="n">
        <v>18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2" t="n">
        <v>5</v>
      </c>
      <c r="F84" s="13" t="n">
        <v>0</v>
      </c>
      <c r="G84" s="14">
        <f>E84*(1+F84)</f>
        <v/>
      </c>
      <c r="H84" s="15" t="n">
        <v>780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2" t="n">
        <v>24.3</v>
      </c>
      <c r="F85" s="13" t="n">
        <v>0</v>
      </c>
      <c r="G85" s="14">
        <f>E85*(1+F85)</f>
        <v/>
      </c>
      <c r="H85" s="15" t="n">
        <v>148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2" t="n">
        <v>17.4</v>
      </c>
      <c r="F86" s="13" t="n">
        <v>0</v>
      </c>
      <c r="G86" s="14">
        <f>E86*(1+F86)</f>
        <v/>
      </c>
      <c r="H86" s="15" t="n">
        <v>185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2" t="n">
        <v>30.96</v>
      </c>
      <c r="F87" s="13" t="n">
        <v>0</v>
      </c>
      <c r="G87" s="14">
        <f>E87*(1+F87)</f>
        <v/>
      </c>
      <c r="H87" s="15" t="n">
        <v>96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2" t="n">
        <v>14.04</v>
      </c>
      <c r="F88" s="13" t="n">
        <v>0</v>
      </c>
      <c r="G88" s="14">
        <f>E88*(1+F88)</f>
        <v/>
      </c>
      <c r="H88" s="15" t="n">
        <v>148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2" t="n">
        <v>2.99</v>
      </c>
      <c r="F89" s="13" t="n">
        <v>0</v>
      </c>
      <c r="G89" s="14">
        <f>E89*(1+F89)</f>
        <v/>
      </c>
      <c r="H89" s="15" t="n">
        <v>620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2" t="n">
        <v>844.7</v>
      </c>
      <c r="F90" s="13" t="n">
        <v>0</v>
      </c>
      <c r="G90" s="14">
        <f>E90*(1+F90)</f>
        <v/>
      </c>
      <c r="H90" s="15" t="n">
        <v>42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2" t="n">
        <v>50</v>
      </c>
      <c r="F91" s="13" t="n">
        <v>0</v>
      </c>
      <c r="G91" s="14">
        <f>E91*(1+F91)</f>
        <v/>
      </c>
      <c r="H91" s="15" t="n">
        <v>38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2" t="n">
        <v>355.6</v>
      </c>
      <c r="F92" s="13" t="n">
        <v>0</v>
      </c>
      <c r="G92" s="14">
        <f>E92*(1+F92)</f>
        <v/>
      </c>
      <c r="H92" s="15" t="n">
        <v>118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2" t="n">
        <v>29</v>
      </c>
      <c r="F93" s="13" t="n">
        <v>0</v>
      </c>
      <c r="G93" s="14">
        <f>E93*(1+F93)</f>
        <v/>
      </c>
      <c r="H93" s="15" t="n">
        <v>780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2" t="n">
        <v>12</v>
      </c>
      <c r="F94" s="13" t="n">
        <v>0</v>
      </c>
      <c r="G94" s="14">
        <f>E94*(1+F94)</f>
        <v/>
      </c>
      <c r="H94" s="15" t="n">
        <v>1450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2" t="n">
        <v>640.8</v>
      </c>
      <c r="F95" s="13" t="n">
        <v>0</v>
      </c>
      <c r="G95" s="14">
        <f>E95*(1+F95)</f>
        <v/>
      </c>
      <c r="H95" s="15" t="n">
        <v>26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2" t="n">
        <v>155.5</v>
      </c>
      <c r="F96" s="13" t="n">
        <v>0</v>
      </c>
      <c r="G96" s="14">
        <f>E96*(1+F96)</f>
        <v/>
      </c>
      <c r="H96" s="15" t="n">
        <v>96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2" t="n">
        <v>4</v>
      </c>
      <c r="F97" s="13" t="n">
        <v>0</v>
      </c>
      <c r="G97" s="14">
        <f>E97*(1+F97)</f>
        <v/>
      </c>
      <c r="H97" s="15" t="n">
        <v>3200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2" t="n">
        <v>16.1</v>
      </c>
      <c r="F98" s="13" t="n">
        <v>0</v>
      </c>
      <c r="G98" s="14">
        <f>E98*(1+F98)</f>
        <v/>
      </c>
      <c r="H98" s="15" t="n">
        <v>620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REV-ARG</t>
        </is>
      </c>
      <c r="B99" s="10" t="inlineStr">
        <is>
          <t>revestimento</t>
        </is>
      </c>
      <c r="C99" s="11" t="inlineStr">
        <is>
          <t>Argamassa colante AC-III e regularizacao</t>
        </is>
      </c>
      <c r="D99" s="10" t="inlineStr">
        <is>
          <t>m2</t>
        </is>
      </c>
      <c r="E99" s="12" t="n">
        <v>511.1</v>
      </c>
      <c r="F99" s="13" t="n">
        <v>0</v>
      </c>
      <c r="G99" s="14">
        <f>E99*(1+F99)</f>
        <v/>
      </c>
      <c r="H99" s="15" t="n">
        <v>18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MAR-TAMPO</t>
        </is>
      </c>
      <c r="B100" s="10" t="inlineStr">
        <is>
          <t>marcenaria</t>
        </is>
      </c>
      <c r="C100" s="11" t="inlineStr">
        <is>
          <t>Tampo de bancada (quartzo/granito)</t>
        </is>
      </c>
      <c r="D100" s="10" t="inlineStr">
        <is>
          <t>m2</t>
        </is>
      </c>
      <c r="E100" s="12" t="n">
        <v>7.17</v>
      </c>
      <c r="F100" s="13" t="n">
        <v>0</v>
      </c>
      <c r="G100" s="14">
        <f>E100*(1+F100)</f>
        <v/>
      </c>
      <c r="H100" s="15" t="n">
        <v>1250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FV-INSTAL</t>
        </is>
      </c>
      <c r="B101" s="10" t="inlineStr">
        <is>
          <t>eletrica</t>
        </is>
      </c>
      <c r="C101" s="11" t="inlineStr">
        <is>
          <t>Instalacao e comissionamento</t>
        </is>
      </c>
      <c r="D101" s="10" t="inlineStr">
        <is>
          <t>kWp</t>
        </is>
      </c>
      <c r="E101" s="12" t="n">
        <v>15.95</v>
      </c>
      <c r="F101" s="13" t="n">
        <v>0</v>
      </c>
      <c r="G101" s="14">
        <f>E101*(1+F101)</f>
        <v/>
      </c>
      <c r="H101" s="15" t="n">
        <v>550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FV-ESTRUTURA</t>
        </is>
      </c>
      <c r="B102" s="10" t="inlineStr">
        <is>
          <t>eletrica</t>
        </is>
      </c>
      <c r="C102" s="11" t="inlineStr">
        <is>
          <t>Estrutura de fixacao em aluminio sobre terca</t>
        </is>
      </c>
      <c r="D102" s="10" t="inlineStr">
        <is>
          <t>m2</t>
        </is>
      </c>
      <c r="E102" s="12" t="n">
        <v>86.2</v>
      </c>
      <c r="F102" s="13" t="n">
        <v>0</v>
      </c>
      <c r="G102" s="14">
        <f>E102*(1+F102)</f>
        <v/>
      </c>
      <c r="H102" s="15" t="n">
        <v>95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PIN-TINTA</t>
        </is>
      </c>
      <c r="B103" s="10" t="inlineStr">
        <is>
          <t>pintura</t>
        </is>
      </c>
      <c r="C103" s="11" t="inlineStr">
        <is>
          <t>Tinta latex (2 demaos, rendimento 10 m2/L)</t>
        </is>
      </c>
      <c r="D103" s="10" t="inlineStr">
        <is>
          <t>L</t>
        </is>
      </c>
      <c r="E103" s="12" t="n">
        <v>179.6</v>
      </c>
      <c r="F103" s="13" t="n">
        <v>0</v>
      </c>
      <c r="G103" s="14">
        <f>E103*(1+F103)</f>
        <v/>
      </c>
      <c r="H103" s="15" t="n">
        <v>42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REV-RODAPE</t>
        </is>
      </c>
      <c r="B104" s="10" t="inlineStr">
        <is>
          <t>revestimento</t>
        </is>
      </c>
      <c r="C104" s="11" t="inlineStr">
        <is>
          <t>Rodape (poliestireno 100 mm, pintado)</t>
        </is>
      </c>
      <c r="D104" s="10" t="inlineStr">
        <is>
          <t>m</t>
        </is>
      </c>
      <c r="E104" s="12" t="n">
        <v>220.9</v>
      </c>
      <c r="F104" s="13" t="n">
        <v>0</v>
      </c>
      <c r="G104" s="14">
        <f>E104*(1+F104)</f>
        <v/>
      </c>
      <c r="H104" s="15" t="n">
        <v>34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FV-INVERSOR</t>
        </is>
      </c>
      <c r="B105" s="10" t="inlineStr">
        <is>
          <t>eletrica</t>
        </is>
      </c>
      <c r="C105" s="11" t="inlineStr">
        <is>
          <t>Inversor string 12 kW, trifasico 220 V</t>
        </is>
      </c>
      <c r="D105" s="10" t="inlineStr">
        <is>
          <t>kW</t>
        </is>
      </c>
      <c r="E105" s="12" t="n">
        <v>12</v>
      </c>
      <c r="F105" s="13" t="n">
        <v>0</v>
      </c>
      <c r="G105" s="14">
        <f>E105*(1+F105)</f>
        <v/>
      </c>
      <c r="H105" s="15" t="n">
        <v>620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PIN-FORRO</t>
        </is>
      </c>
      <c r="B106" s="10" t="inlineStr">
        <is>
          <t>pintura</t>
        </is>
      </c>
      <c r="C106" s="11" t="inlineStr">
        <is>
          <t>Pintura de forro (latex PVA fosco)</t>
        </is>
      </c>
      <c r="D106" s="10" t="inlineStr">
        <is>
          <t>m2</t>
        </is>
      </c>
      <c r="E106" s="12" t="n">
        <v>257</v>
      </c>
      <c r="F106" s="13" t="n">
        <v>0</v>
      </c>
      <c r="G106" s="14">
        <f>E106*(1+F106)</f>
        <v/>
      </c>
      <c r="H106" s="15" t="n">
        <v>26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EQP-SPLIT9</t>
        </is>
      </c>
      <c r="B107" s="10" t="inlineStr">
        <is>
          <t>equipamentos</t>
        </is>
      </c>
      <c r="C107" s="11" t="inlineStr">
        <is>
          <t>Split inverter 9.000 BTU/h</t>
        </is>
      </c>
      <c r="D107" s="10" t="inlineStr">
        <is>
          <t>un</t>
        </is>
      </c>
      <c r="E107" s="12" t="n">
        <v>3</v>
      </c>
      <c r="F107" s="13" t="n">
        <v>0</v>
      </c>
      <c r="G107" s="14">
        <f>E107*(1+F107)</f>
        <v/>
      </c>
      <c r="H107" s="15" t="n">
        <v>2100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SPD-CAPTOR</t>
        </is>
      </c>
      <c r="B108" s="10" t="inlineStr">
        <is>
          <t>eletrica</t>
        </is>
      </c>
      <c r="C108" s="11" t="inlineStr">
        <is>
          <t>Captor: cabo de aluminio 70 mm2 no perimetro da cobertura</t>
        </is>
      </c>
      <c r="D108" s="10" t="inlineStr">
        <is>
          <t>m</t>
        </is>
      </c>
      <c r="E108" s="12" t="n">
        <v>160.8</v>
      </c>
      <c r="F108" s="13" t="n">
        <v>0</v>
      </c>
      <c r="G108" s="14">
        <f>E108*(1+F108)</f>
        <v/>
      </c>
      <c r="H108" s="15" t="n">
        <v>38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MAR-ARM</t>
        </is>
      </c>
      <c r="B109" s="10" t="inlineStr">
        <is>
          <t>marcenaria</t>
        </is>
      </c>
      <c r="C109" s="11" t="inlineStr">
        <is>
          <t>Armario de MDF sob medida</t>
        </is>
      </c>
      <c r="D109" s="10" t="inlineStr">
        <is>
          <t>m2</t>
        </is>
      </c>
      <c r="E109" s="12" t="n">
        <v>5.94</v>
      </c>
      <c r="F109" s="13" t="n">
        <v>0</v>
      </c>
      <c r="G109" s="14">
        <f>E109*(1+F109)</f>
        <v/>
      </c>
      <c r="H109" s="15" t="n">
        <v>980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2" t="n">
        <v>45</v>
      </c>
      <c r="F110" s="13" t="n">
        <v>0</v>
      </c>
      <c r="G110" s="14">
        <f>E110*(1+F110)</f>
        <v/>
      </c>
      <c r="H110" s="15" t="n">
        <v>128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2" t="n">
        <v>1</v>
      </c>
      <c r="F111" s="13" t="n">
        <v>0</v>
      </c>
      <c r="G111" s="14">
        <f>E111*(1+F111)</f>
        <v/>
      </c>
      <c r="H111" s="15" t="n">
        <v>5400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2" t="n">
        <v>31</v>
      </c>
      <c r="F112" s="13" t="n">
        <v>0</v>
      </c>
      <c r="G112" s="14">
        <f>E112*(1+F112)</f>
        <v/>
      </c>
      <c r="H112" s="15" t="n">
        <v>165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REV-REJ</t>
        </is>
      </c>
      <c r="B113" s="10" t="inlineStr">
        <is>
          <t>revestimento</t>
        </is>
      </c>
      <c r="C113" s="11" t="inlineStr">
        <is>
          <t>Rejunte epoxi/acrilico</t>
        </is>
      </c>
      <c r="D113" s="10" t="inlineStr">
        <is>
          <t>m2</t>
        </is>
      </c>
      <c r="E113" s="12" t="n">
        <v>511.1</v>
      </c>
      <c r="F113" s="13" t="n">
        <v>0</v>
      </c>
      <c r="G113" s="14">
        <f>E113*(1+F113)</f>
        <v/>
      </c>
      <c r="H113" s="15" t="n">
        <v>9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LOU-VASO</t>
        </is>
      </c>
      <c r="B114" s="10" t="inlineStr">
        <is>
          <t>loucas</t>
        </is>
      </c>
      <c r="C114" s="11" t="inlineStr">
        <is>
          <t>Bacia sanitaria com caixa acoplada</t>
        </is>
      </c>
      <c r="D114" s="10" t="inlineStr">
        <is>
          <t>un</t>
        </is>
      </c>
      <c r="E114" s="12" t="n">
        <v>5</v>
      </c>
      <c r="F114" s="13" t="n">
        <v>0</v>
      </c>
      <c r="G114" s="14">
        <f>E114*(1+F114)</f>
        <v/>
      </c>
      <c r="H114" s="15" t="n">
        <v>780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MAR-CAB</t>
        </is>
      </c>
      <c r="B115" s="10" t="inlineStr">
        <is>
          <t>marcenaria</t>
        </is>
      </c>
      <c r="C115" s="11" t="inlineStr">
        <is>
          <t>Cabideiro e gaveteiro de closet</t>
        </is>
      </c>
      <c r="D115" s="10" t="inlineStr">
        <is>
          <t>m</t>
        </is>
      </c>
      <c r="E115" s="12" t="n">
        <v>12</v>
      </c>
      <c r="F115" s="13" t="n">
        <v>0</v>
      </c>
      <c r="G115" s="14">
        <f>E115*(1+F115)</f>
        <v/>
      </c>
      <c r="H115" s="15" t="n">
        <v>320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2" t="n">
        <v>17.4</v>
      </c>
      <c r="F116" s="13" t="n">
        <v>0</v>
      </c>
      <c r="G116" s="14">
        <f>E116*(1+F116)</f>
        <v/>
      </c>
      <c r="H116" s="15" t="n">
        <v>210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SPD-ANEL</t>
        </is>
      </c>
      <c r="B117" s="10" t="inlineStr">
        <is>
          <t>eletrica</t>
        </is>
      </c>
      <c r="C117" s="11" t="inlineStr">
        <is>
          <t>Anel de aterramento: cobre nu 50 mm2 no perimetro do radier</t>
        </is>
      </c>
      <c r="D117" s="10" t="inlineStr">
        <is>
          <t>m</t>
        </is>
      </c>
      <c r="E117" s="12" t="n">
        <v>63.6</v>
      </c>
      <c r="F117" s="13" t="n">
        <v>0</v>
      </c>
      <c r="G117" s="14">
        <f>E117*(1+F117)</f>
        <v/>
      </c>
      <c r="H117" s="15" t="n">
        <v>46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REV-FORRO-ACUST</t>
        </is>
      </c>
      <c r="B118" s="10" t="inlineStr">
        <is>
          <t>revestimento</t>
        </is>
      </c>
      <c r="C118" s="11" t="inlineStr">
        <is>
          <t>Forro absorvente perfurado (alfa 0,70), acabado de fabrica</t>
        </is>
      </c>
      <c r="D118" s="10" t="inlineStr">
        <is>
          <t>m2</t>
        </is>
      </c>
      <c r="E118" s="12" t="n">
        <v>30.2</v>
      </c>
      <c r="F118" s="13" t="n">
        <v>0</v>
      </c>
      <c r="G118" s="14">
        <f>E118*(1+F118)</f>
        <v/>
      </c>
      <c r="H118" s="15" t="n">
        <v>96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EQP-PISC</t>
        </is>
      </c>
      <c r="B119" s="10" t="inlineStr">
        <is>
          <t>equipamentos</t>
        </is>
      </c>
      <c r="C119" s="11" t="inlineStr">
        <is>
          <t>Conjunto da piscina: bomba, filtro e tratamento</t>
        </is>
      </c>
      <c r="D119" s="10" t="inlineStr">
        <is>
          <t>cj</t>
        </is>
      </c>
      <c r="E119" s="12" t="n">
        <v>1</v>
      </c>
      <c r="F119" s="13" t="n">
        <v>0</v>
      </c>
      <c r="G119" s="14">
        <f>E119*(1+F119)</f>
        <v/>
      </c>
      <c r="H119" s="15" t="n">
        <v>2800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2" t="n">
        <v>8</v>
      </c>
      <c r="F120" s="13" t="n">
        <v>0</v>
      </c>
      <c r="G120" s="14">
        <f>E120*(1+F120)</f>
        <v/>
      </c>
      <c r="H120" s="15" t="n">
        <v>340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EQP-PORTAO</t>
        </is>
      </c>
      <c r="B121" s="10" t="inlineStr">
        <is>
          <t>equipamentos</t>
        </is>
      </c>
      <c r="C121" s="11" t="inlineStr">
        <is>
          <t>Automatizador de portao de correr</t>
        </is>
      </c>
      <c r="D121" s="10" t="inlineStr">
        <is>
          <t>un</t>
        </is>
      </c>
      <c r="E121" s="12" t="n">
        <v>1</v>
      </c>
      <c r="F121" s="13" t="n">
        <v>0</v>
      </c>
      <c r="G121" s="14">
        <f>E121*(1+F121)</f>
        <v/>
      </c>
      <c r="H121" s="15" t="n">
        <v>2400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MAR-PRAT</t>
        </is>
      </c>
      <c r="B122" s="10" t="inlineStr">
        <is>
          <t>marcenaria</t>
        </is>
      </c>
      <c r="C122" s="11" t="inlineStr">
        <is>
          <t>Prateleira e nicho</t>
        </is>
      </c>
      <c r="D122" s="10" t="inlineStr">
        <is>
          <t>m</t>
        </is>
      </c>
      <c r="E122" s="12" t="n">
        <v>8.199999999999999</v>
      </c>
      <c r="F122" s="13" t="n">
        <v>0</v>
      </c>
      <c r="G122" s="14">
        <f>E122*(1+F122)</f>
        <v/>
      </c>
      <c r="H122" s="15" t="n">
        <v>260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LOU-LAV</t>
        </is>
      </c>
      <c r="B123" s="10" t="inlineStr">
        <is>
          <t>loucas</t>
        </is>
      </c>
      <c r="C123" s="11" t="inlineStr">
        <is>
          <t>Lavatorio / cuba de banheiro</t>
        </is>
      </c>
      <c r="D123" s="10" t="inlineStr">
        <is>
          <t>un</t>
        </is>
      </c>
      <c r="E123" s="12" t="n">
        <v>5</v>
      </c>
      <c r="F123" s="13" t="n">
        <v>0</v>
      </c>
      <c r="G123" s="14">
        <f>E123*(1+F123)</f>
        <v/>
      </c>
      <c r="H123" s="15" t="n">
        <v>420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PIN-SELADOR</t>
        </is>
      </c>
      <c r="B124" s="10" t="inlineStr">
        <is>
          <t>pintura</t>
        </is>
      </c>
      <c r="C124" s="11" t="inlineStr">
        <is>
          <t>Selador acrilico</t>
        </is>
      </c>
      <c r="D124" s="10" t="inlineStr">
        <is>
          <t>L</t>
        </is>
      </c>
      <c r="E124" s="12" t="n">
        <v>74.8</v>
      </c>
      <c r="F124" s="13" t="n">
        <v>0</v>
      </c>
      <c r="G124" s="14">
        <f>E124*(1+F124)</f>
        <v/>
      </c>
      <c r="H124" s="15" t="n">
        <v>28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LOU-CUBA</t>
        </is>
      </c>
      <c r="B125" s="10" t="inlineStr">
        <is>
          <t>loucas</t>
        </is>
      </c>
      <c r="C125" s="11" t="inlineStr">
        <is>
          <t>Cuba de cozinha / gourmet / lavanderia em inox</t>
        </is>
      </c>
      <c r="D125" s="10" t="inlineStr">
        <is>
          <t>un</t>
        </is>
      </c>
      <c r="E125" s="12" t="n">
        <v>3</v>
      </c>
      <c r="F125" s="13" t="n">
        <v>0</v>
      </c>
      <c r="G125" s="14">
        <f>E125*(1+F125)</f>
        <v/>
      </c>
      <c r="H125" s="15" t="n">
        <v>690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MET-ACESS</t>
        </is>
      </c>
      <c r="B126" s="10" t="inlineStr">
        <is>
          <t>loucas</t>
        </is>
      </c>
      <c r="C126" s="11" t="inlineStr">
        <is>
          <t>Acessorios (papeleira, cabide, saboneteira, toalheiro)</t>
        </is>
      </c>
      <c r="D126" s="10" t="inlineStr">
        <is>
          <t>un</t>
        </is>
      </c>
      <c r="E126" s="12" t="n">
        <v>24</v>
      </c>
      <c r="F126" s="13" t="n">
        <v>0</v>
      </c>
      <c r="G126" s="14">
        <f>E126*(1+F126)</f>
        <v/>
      </c>
      <c r="H126" s="15" t="n">
        <v>85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ELE-TUG</t>
        </is>
      </c>
      <c r="B127" s="10" t="inlineStr">
        <is>
          <t>eletrica</t>
        </is>
      </c>
      <c r="C127" s="11" t="inlineStr">
        <is>
          <t>Tomada 2P+T 10 A com placa</t>
        </is>
      </c>
      <c r="D127" s="10" t="inlineStr">
        <is>
          <t>un</t>
        </is>
      </c>
      <c r="E127" s="12" t="n">
        <v>71</v>
      </c>
      <c r="F127" s="13" t="n">
        <v>0</v>
      </c>
      <c r="G127" s="14">
        <f>E127*(1+F127)</f>
        <v/>
      </c>
      <c r="H127" s="15" t="n">
        <v>28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EQP-EXAUST</t>
        </is>
      </c>
      <c r="B128" s="10" t="inlineStr">
        <is>
          <t>equipamentos</t>
        </is>
      </c>
      <c r="C128" s="11" t="inlineStr">
        <is>
          <t>Exaustor / coifa</t>
        </is>
      </c>
      <c r="D128" s="10" t="inlineStr">
        <is>
          <t>un</t>
        </is>
      </c>
      <c r="E128" s="12" t="n">
        <v>7</v>
      </c>
      <c r="F128" s="13" t="n">
        <v>0</v>
      </c>
      <c r="G128" s="14">
        <f>E128*(1+F128)</f>
        <v/>
      </c>
      <c r="H128" s="15" t="n">
        <v>260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FV-HOMOLOG</t>
        </is>
      </c>
      <c r="B129" s="10" t="inlineStr">
        <is>
          <t>eletrica</t>
        </is>
      </c>
      <c r="C129" s="11" t="inlineStr">
        <is>
          <t>Projeto e homologacao na concessionaria (REN 1.000)</t>
        </is>
      </c>
      <c r="D129" s="10" t="inlineStr">
        <is>
          <t>un</t>
        </is>
      </c>
      <c r="E129" s="12" t="n">
        <v>1</v>
      </c>
      <c r="F129" s="13" t="n">
        <v>0</v>
      </c>
      <c r="G129" s="14">
        <f>E129*(1+F129)</f>
        <v/>
      </c>
      <c r="H129" s="15" t="n">
        <v>1800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LUM-SOBREPOR24</t>
        </is>
      </c>
      <c r="B130" s="10" t="inlineStr">
        <is>
          <t>eletrica</t>
        </is>
      </c>
      <c r="C130" s="11" t="inlineStr">
        <is>
          <t>Plafon LED de sobrepor 24 W</t>
        </is>
      </c>
      <c r="D130" s="10" t="inlineStr">
        <is>
          <t>un</t>
        </is>
      </c>
      <c r="E130" s="12" t="n">
        <v>10</v>
      </c>
      <c r="F130" s="13" t="n">
        <v>0</v>
      </c>
      <c r="G130" s="14">
        <f>E130*(1+F130)</f>
        <v/>
      </c>
      <c r="H130" s="15" t="n">
        <v>175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MET-CHUV</t>
        </is>
      </c>
      <c r="B131" s="10" t="inlineStr">
        <is>
          <t>loucas</t>
        </is>
      </c>
      <c r="C131" s="11" t="inlineStr">
        <is>
          <t>Chuveiro eletrico 220 V</t>
        </is>
      </c>
      <c r="D131" s="10" t="inlineStr">
        <is>
          <t>un</t>
        </is>
      </c>
      <c r="E131" s="12" t="n">
        <v>4</v>
      </c>
      <c r="F131" s="13" t="n">
        <v>0</v>
      </c>
      <c r="G131" s="14">
        <f>E131*(1+F131)</f>
        <v/>
      </c>
      <c r="H131" s="15" t="n">
        <v>320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MET-REG</t>
        </is>
      </c>
      <c r="B132" s="10" t="inlineStr">
        <is>
          <t>loucas</t>
        </is>
      </c>
      <c r="C132" s="11" t="inlineStr">
        <is>
          <t>Registro de gaveta e de pressao</t>
        </is>
      </c>
      <c r="D132" s="10" t="inlineStr">
        <is>
          <t>un</t>
        </is>
      </c>
      <c r="E132" s="12" t="n">
        <v>12</v>
      </c>
      <c r="F132" s="13" t="n">
        <v>0</v>
      </c>
      <c r="G132" s="14">
        <f>E132*(1+F132)</f>
        <v/>
      </c>
      <c r="H132" s="15" t="n">
        <v>95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ELE-DR</t>
        </is>
      </c>
      <c r="B133" s="10" t="inlineStr">
        <is>
          <t>eletrica</t>
        </is>
      </c>
      <c r="C133" s="11" t="inlineStr">
        <is>
          <t>Disjuntor diferencial residual 30 mA</t>
        </is>
      </c>
      <c r="D133" s="10" t="inlineStr">
        <is>
          <t>un</t>
        </is>
      </c>
      <c r="E133" s="12" t="n">
        <v>6</v>
      </c>
      <c r="F133" s="13" t="n">
        <v>0</v>
      </c>
      <c r="G133" s="14">
        <f>E133*(1+F133)</f>
        <v/>
      </c>
      <c r="H133" s="15" t="n">
        <v>180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MET-DUCHA</t>
        </is>
      </c>
      <c r="B134" s="10" t="inlineStr">
        <is>
          <t>loucas</t>
        </is>
      </c>
      <c r="C134" s="11" t="inlineStr">
        <is>
          <t>Ducha higienica com registro</t>
        </is>
      </c>
      <c r="D134" s="10" t="inlineStr">
        <is>
          <t>un</t>
        </is>
      </c>
      <c r="E134" s="12" t="n">
        <v>5</v>
      </c>
      <c r="F134" s="13" t="n">
        <v>0</v>
      </c>
      <c r="G134" s="14">
        <f>E134*(1+F134)</f>
        <v/>
      </c>
      <c r="H134" s="15" t="n">
        <v>210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SPD-DESCIDA</t>
        </is>
      </c>
      <c r="B135" s="10" t="inlineStr">
        <is>
          <t>eletrica</t>
        </is>
      </c>
      <c r="C135" s="11" t="inlineStr">
        <is>
          <t>Descida natural pela estrutura LSF: conector de teste e ligacao</t>
        </is>
      </c>
      <c r="D135" s="10" t="inlineStr">
        <is>
          <t>un</t>
        </is>
      </c>
      <c r="E135" s="12" t="n">
        <v>4</v>
      </c>
      <c r="F135" s="13" t="n">
        <v>0</v>
      </c>
      <c r="G135" s="14">
        <f>E135*(1+F135)</f>
        <v/>
      </c>
      <c r="H135" s="15" t="n">
        <v>260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LUM-ARANDELA</t>
        </is>
      </c>
      <c r="B136" s="10" t="inlineStr">
        <is>
          <t>eletrica</t>
        </is>
      </c>
      <c r="C136" s="11" t="inlineStr">
        <is>
          <t>Arandela LED IP44 de espelho, 8 W</t>
        </is>
      </c>
      <c r="D136" s="10" t="inlineStr">
        <is>
          <t>un</t>
        </is>
      </c>
      <c r="E136" s="12" t="n">
        <v>6</v>
      </c>
      <c r="F136" s="13" t="n">
        <v>0</v>
      </c>
      <c r="G136" s="14">
        <f>E136*(1+F136)</f>
        <v/>
      </c>
      <c r="H136" s="15" t="n">
        <v>160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SPD-DPS1</t>
        </is>
      </c>
      <c r="B137" s="10" t="inlineStr">
        <is>
          <t>eletrica</t>
        </is>
      </c>
      <c r="C137" s="11" t="inlineStr">
        <is>
          <t>DPS classe I, 12,5 kA, 3F+N, na entrada</t>
        </is>
      </c>
      <c r="D137" s="10" t="inlineStr">
        <is>
          <t>un</t>
        </is>
      </c>
      <c r="E137" s="12" t="n">
        <v>1</v>
      </c>
      <c r="F137" s="13" t="n">
        <v>0</v>
      </c>
      <c r="G137" s="14">
        <f>E137*(1+F137)</f>
        <v/>
      </c>
      <c r="H137" s="15" t="n">
        <v>890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LUM-PENDENTE40</t>
        </is>
      </c>
      <c r="B138" s="10" t="inlineStr">
        <is>
          <t>eletrica</t>
        </is>
      </c>
      <c r="C138" s="11" t="inlineStr">
        <is>
          <t>Pendente LED de pe-direito duplo, 40 W</t>
        </is>
      </c>
      <c r="D138" s="10" t="inlineStr">
        <is>
          <t>un</t>
        </is>
      </c>
      <c r="E138" s="12" t="n">
        <v>2</v>
      </c>
      <c r="F138" s="13" t="n">
        <v>0</v>
      </c>
      <c r="G138" s="14">
        <f>E138*(1+F138)</f>
        <v/>
      </c>
      <c r="H138" s="15" t="n">
        <v>420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ELE-INT</t>
        </is>
      </c>
      <c r="B139" s="10" t="inlineStr">
        <is>
          <t>eletrica</t>
        </is>
      </c>
      <c r="C139" s="11" t="inlineStr">
        <is>
          <t>Interruptor simples e paralelo com placa</t>
        </is>
      </c>
      <c r="D139" s="10" t="inlineStr">
        <is>
          <t>un</t>
        </is>
      </c>
      <c r="E139" s="12" t="n">
        <v>25</v>
      </c>
      <c r="F139" s="13" t="n">
        <v>0</v>
      </c>
      <c r="G139" s="14">
        <f>E139*(1+F139)</f>
        <v/>
      </c>
      <c r="H139" s="15" t="n">
        <v>32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LOU-ASSENTO</t>
        </is>
      </c>
      <c r="B140" s="10" t="inlineStr">
        <is>
          <t>loucas</t>
        </is>
      </c>
      <c r="C140" s="11" t="inlineStr">
        <is>
          <t>Assento sanitario com amortecedor</t>
        </is>
      </c>
      <c r="D140" s="10" t="inlineStr">
        <is>
          <t>un</t>
        </is>
      </c>
      <c r="E140" s="12" t="n">
        <v>5</v>
      </c>
      <c r="F140" s="13" t="n">
        <v>0</v>
      </c>
      <c r="G140" s="14">
        <f>E140*(1+F140)</f>
        <v/>
      </c>
      <c r="H140" s="15" t="n">
        <v>140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FV-STRINGBOX</t>
        </is>
      </c>
      <c r="B141" s="10" t="inlineStr">
        <is>
          <t>eletrica</t>
        </is>
      </c>
      <c r="C141" s="11" t="inlineStr">
        <is>
          <t>String box CC com DPS e seccionadora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680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ELE-TUE</t>
        </is>
      </c>
      <c r="B142" s="10" t="inlineStr">
        <is>
          <t>eletrica</t>
        </is>
      </c>
      <c r="C142" s="11" t="inlineStr">
        <is>
          <t>Tomada de uso especifico 20 A com placa</t>
        </is>
      </c>
      <c r="D142" s="10" t="inlineStr">
        <is>
          <t>un</t>
        </is>
      </c>
      <c r="E142" s="12" t="n">
        <v>24</v>
      </c>
      <c r="F142" s="13" t="n">
        <v>0</v>
      </c>
      <c r="G142" s="14">
        <f>E142*(1+F142)</f>
        <v/>
      </c>
      <c r="H142" s="15" t="n">
        <v>28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SPD-ENSAIO</t>
        </is>
      </c>
      <c r="B143" s="10" t="inlineStr">
        <is>
          <t>eletrica</t>
        </is>
      </c>
      <c r="C143" s="11" t="inlineStr">
        <is>
          <t>Ensaio de continuidade e resistencia de aterramento</t>
        </is>
      </c>
      <c r="D143" s="10" t="inlineStr">
        <is>
          <t>un</t>
        </is>
      </c>
      <c r="E143" s="12" t="n">
        <v>1</v>
      </c>
      <c r="F143" s="13" t="n">
        <v>0</v>
      </c>
      <c r="G143" s="14">
        <f>E143*(1+F143)</f>
        <v/>
      </c>
      <c r="H143" s="15" t="n">
        <v>650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FV-CABO</t>
        </is>
      </c>
      <c r="B144" s="10" t="inlineStr">
        <is>
          <t>eletrica</t>
        </is>
      </c>
      <c r="C144" s="11" t="inlineStr">
        <is>
          <t>Cabo solar 6 mm2 e eletroduto ate o inversor</t>
        </is>
      </c>
      <c r="D144" s="10" t="inlineStr">
        <is>
          <t>m</t>
        </is>
      </c>
      <c r="E144" s="12" t="n">
        <v>46.3</v>
      </c>
      <c r="F144" s="13" t="n">
        <v>0</v>
      </c>
      <c r="G144" s="14">
        <f>E144*(1+F144)</f>
        <v/>
      </c>
      <c r="H144" s="15" t="n">
        <v>14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LUM-BALIZADOR</t>
        </is>
      </c>
      <c r="B145" s="10" t="inlineStr">
        <is>
          <t>eletrica</t>
        </is>
      </c>
      <c r="C145" s="11" t="inlineStr">
        <is>
          <t>Balizador LED de escada, 3 W</t>
        </is>
      </c>
      <c r="D145" s="10" t="inlineStr">
        <is>
          <t>un</t>
        </is>
      </c>
      <c r="E145" s="12" t="n">
        <v>6</v>
      </c>
      <c r="F145" s="13" t="n">
        <v>0</v>
      </c>
      <c r="G145" s="14">
        <f>E145*(1+F145)</f>
        <v/>
      </c>
      <c r="H145" s="15" t="n">
        <v>85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MET-ENGATE</t>
        </is>
      </c>
      <c r="B146" s="10" t="inlineStr">
        <is>
          <t>loucas</t>
        </is>
      </c>
      <c r="C146" s="11" t="inlineStr">
        <is>
          <t>Engate flexivel</t>
        </is>
      </c>
      <c r="D146" s="10" t="inlineStr">
        <is>
          <t>un</t>
        </is>
      </c>
      <c r="E146" s="12" t="n">
        <v>23</v>
      </c>
      <c r="F146" s="13" t="n">
        <v>0</v>
      </c>
      <c r="G146" s="14">
        <f>E146*(1+F146)</f>
        <v/>
      </c>
      <c r="H146" s="15" t="n">
        <v>22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MET-TORN-T</t>
        </is>
      </c>
      <c r="B147" s="10" t="inlineStr">
        <is>
          <t>loucas</t>
        </is>
      </c>
      <c r="C147" s="11" t="inlineStr">
        <is>
          <t>Torneira de tanque e de jardim</t>
        </is>
      </c>
      <c r="D147" s="10" t="inlineStr">
        <is>
          <t>un</t>
        </is>
      </c>
      <c r="E147" s="12" t="n">
        <v>3</v>
      </c>
      <c r="F147" s="13" t="n">
        <v>0</v>
      </c>
      <c r="G147" s="14">
        <f>E147*(1+F147)</f>
        <v/>
      </c>
      <c r="H147" s="15" t="n">
        <v>160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SPD-BEP</t>
        </is>
      </c>
      <c r="B148" s="10" t="inlineStr">
        <is>
          <t>eletrica</t>
        </is>
      </c>
      <c r="C148" s="11" t="inlineStr">
        <is>
          <t>Barramento de equipotencializacao principal</t>
        </is>
      </c>
      <c r="D148" s="10" t="inlineStr">
        <is>
          <t>un</t>
        </is>
      </c>
      <c r="E148" s="12" t="n">
        <v>1</v>
      </c>
      <c r="F148" s="13" t="n">
        <v>0</v>
      </c>
      <c r="G148" s="14">
        <f>E148*(1+F148)</f>
        <v/>
      </c>
      <c r="H148" s="15" t="n">
        <v>420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MET-VALV</t>
        </is>
      </c>
      <c r="B149" s="10" t="inlineStr">
        <is>
          <t>loucas</t>
        </is>
      </c>
      <c r="C149" s="11" t="inlineStr">
        <is>
          <t>Valvula de escoamento e de lavatorio</t>
        </is>
      </c>
      <c r="D149" s="10" t="inlineStr">
        <is>
          <t>un</t>
        </is>
      </c>
      <c r="E149" s="12" t="n">
        <v>9</v>
      </c>
      <c r="F149" s="13" t="n">
        <v>0</v>
      </c>
      <c r="G149" s="14">
        <f>E149*(1+F149)</f>
        <v/>
      </c>
      <c r="H149" s="15" t="n">
        <v>45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SPD-HASTE</t>
        </is>
      </c>
      <c r="B150" s="10" t="inlineStr">
        <is>
          <t>eletrica</t>
        </is>
      </c>
      <c r="C150" s="11" t="inlineStr">
        <is>
          <t>Haste de aterramento 5/8 x 2.400 mm</t>
        </is>
      </c>
      <c r="D150" s="10" t="inlineStr">
        <is>
          <t>un</t>
        </is>
      </c>
      <c r="E150" s="12" t="n">
        <v>4</v>
      </c>
      <c r="F150" s="13" t="n">
        <v>0</v>
      </c>
      <c r="G150" s="14">
        <f>E150*(1+F150)</f>
        <v/>
      </c>
      <c r="H150" s="15" t="n">
        <v>95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MET-SIFAO</t>
        </is>
      </c>
      <c r="B151" s="10" t="inlineStr">
        <is>
          <t>loucas</t>
        </is>
      </c>
      <c r="C151" s="11" t="inlineStr">
        <is>
          <t>Sifao flexivel</t>
        </is>
      </c>
      <c r="D151" s="10" t="inlineStr">
        <is>
          <t>un</t>
        </is>
      </c>
      <c r="E151" s="12" t="n">
        <v>9</v>
      </c>
      <c r="F151" s="13" t="n">
        <v>0</v>
      </c>
      <c r="G151" s="14">
        <f>E151*(1+F151)</f>
        <v/>
      </c>
      <c r="H151" s="15" t="n">
        <v>38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LOU-TANQUE</t>
        </is>
      </c>
      <c r="B152" s="10" t="inlineStr">
        <is>
          <t>loucas</t>
        </is>
      </c>
      <c r="C152" s="11" t="inlineStr">
        <is>
          <t>Tanque de lavanderia</t>
        </is>
      </c>
      <c r="D152" s="10" t="inlineStr">
        <is>
          <t>un</t>
        </is>
      </c>
      <c r="E152" s="12" t="n">
        <v>1</v>
      </c>
      <c r="F152" s="13" t="n">
        <v>0</v>
      </c>
      <c r="G152" s="14">
        <f>E152*(1+F152)</f>
        <v/>
      </c>
      <c r="H152" s="15" t="n">
        <v>320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ELE-DPS</t>
        </is>
      </c>
      <c r="B153" s="10" t="inlineStr">
        <is>
          <t>eletrica</t>
        </is>
      </c>
      <c r="C153" s="11" t="inlineStr">
        <is>
          <t>Dispositivo de protecao contra surtos</t>
        </is>
      </c>
      <c r="D153" s="10" t="inlineStr">
        <is>
          <t>un</t>
        </is>
      </c>
      <c r="E153" s="12" t="n">
        <v>2</v>
      </c>
      <c r="F153" s="13" t="n">
        <v>0</v>
      </c>
      <c r="G153" s="14">
        <f>E153*(1+F153)</f>
        <v/>
      </c>
      <c r="H153" s="15" t="n">
        <v>120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22" t="n"/>
      <c r="B154" s="22" t="n"/>
      <c r="C154" s="23" t="inlineStr">
        <is>
          <t>TOTAL GERAL</t>
        </is>
      </c>
      <c r="D154" s="22" t="n"/>
      <c r="E154" s="22" t="n"/>
      <c r="F154" s="22" t="n"/>
      <c r="G154" s="22" t="n"/>
      <c r="H154" s="22" t="n"/>
      <c r="I154" s="24">
        <f>SUM(I4:I153)</f>
        <v/>
      </c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4">
        <f>SUM(T4:T153)</f>
        <v/>
      </c>
      <c r="U154" s="25">
        <f>IF(T154=0,"",T154/I154-1)</f>
        <v/>
      </c>
      <c r="V154" s="22" t="n"/>
    </row>
    <row r="156">
      <c r="C156" s="2" t="inlineStr">
        <is>
          <t>Itens: 150 · linhas cotáveis com especificação completa: 129 · com lacuna a esclarecer com o fornecedor: 88</t>
        </is>
      </c>
    </row>
    <row r="157">
      <c r="C157" s="2" t="inlineStr">
        <is>
          <t>Passe o mouse sobre a DESCRIÇÃO para ver a especificação completa, as normas e a lacuna de cada item.</t>
        </is>
      </c>
    </row>
  </sheetData>
  <autoFilter ref="A3:V153"/>
  <conditionalFormatting sqref="V4:V153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3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3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SUMIF(COTAÇÃO!$B$4:$B$153,$A5,COTAÇÃO!$I$4:$I$153)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SUMIF(COTAÇÃO!$B$4:$B$153,$A5,COTAÇÃO!$T$4:$T$153)</f>
        <v/>
      </c>
      <c r="G5" s="21">
        <f>IF(OR(F5=0,C5=0),"",F5/C5-1)</f>
        <v/>
      </c>
      <c r="H5" s="18">
        <f>COUNTIFS(COTAÇÃO!$B$4:$B$153,$A5,COTAÇÃO!$O$4:$O$153,"&gt;0")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SUMIF(COTAÇÃO!$B$4:$B$153,$A6,COTAÇÃO!$I$4:$I$153)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SUMIF(COTAÇÃO!$B$4:$B$153,$A6,COTAÇÃO!$T$4:$T$153)</f>
        <v/>
      </c>
      <c r="G6" s="21">
        <f>IF(OR(F6=0,C6=0),"",F6/C6-1)</f>
        <v/>
      </c>
      <c r="H6" s="18">
        <f>COUNTIFS(COTAÇÃO!$B$4:$B$153,$A6,COTAÇÃO!$O$4:$O$153,"&gt;0")</f>
        <v/>
      </c>
      <c r="I6" s="21">
        <f>IF(B6=0,0,H6/B6)</f>
        <v/>
      </c>
    </row>
    <row r="7">
      <c r="A7" s="9" t="inlineStr">
        <is>
          <t>eletrica</t>
        </is>
      </c>
      <c r="B7" s="18" t="n">
        <v>26</v>
      </c>
      <c r="C7" s="27">
        <f>SUMIF(COTAÇÃO!$B$4:$B$153,$A7,COTAÇÃO!$I$4:$I$153)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SUMIF(COTAÇÃO!$B$4:$B$153,$A7,COTAÇÃO!$T$4:$T$153)</f>
        <v/>
      </c>
      <c r="G7" s="21">
        <f>IF(OR(F7=0,C7=0),"",F7/C7-1)</f>
        <v/>
      </c>
      <c r="H7" s="18">
        <f>COUNTIFS(COTAÇÃO!$B$4:$B$153,$A7,COTAÇÃO!$O$4:$O$153,"&gt;0")</f>
        <v/>
      </c>
      <c r="I7" s="21">
        <f>IF(B7=0,0,H7/B7)</f>
        <v/>
      </c>
    </row>
    <row r="8">
      <c r="A8" s="9" t="inlineStr">
        <is>
          <t>fundacao</t>
        </is>
      </c>
      <c r="B8" s="18" t="n">
        <v>11</v>
      </c>
      <c r="C8" s="27">
        <f>SUMIF(COTAÇÃO!$B$4:$B$153,$A8,COTAÇÃO!$I$4:$I$153)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SUMIF(COTAÇÃO!$B$4:$B$153,$A8,COTAÇÃO!$T$4:$T$153)</f>
        <v/>
      </c>
      <c r="G8" s="21">
        <f>IF(OR(F8=0,C8=0),"",F8/C8-1)</f>
        <v/>
      </c>
      <c r="H8" s="18">
        <f>COUNTIFS(COTAÇÃO!$B$4:$B$153,$A8,COTAÇÃO!$O$4:$O$153,"&gt;0")</f>
        <v/>
      </c>
      <c r="I8" s="21">
        <f>IF(B8=0,0,H8/B8)</f>
        <v/>
      </c>
    </row>
    <row r="9">
      <c r="A9" s="9" t="inlineStr">
        <is>
          <t>revestimento</t>
        </is>
      </c>
      <c r="B9" s="18" t="n">
        <v>6</v>
      </c>
      <c r="C9" s="27">
        <f>SUMIF(COTAÇÃO!$B$4:$B$153,$A9,COTAÇÃO!$I$4:$I$153)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SUMIF(COTAÇÃO!$B$4:$B$153,$A9,COTAÇÃO!$T$4:$T$153)</f>
        <v/>
      </c>
      <c r="G9" s="21">
        <f>IF(OR(F9=0,C9=0),"",F9/C9-1)</f>
        <v/>
      </c>
      <c r="H9" s="18">
        <f>COUNTIFS(COTAÇÃO!$B$4:$B$153,$A9,COTAÇÃO!$O$4:$O$153,"&gt;0")</f>
        <v/>
      </c>
      <c r="I9" s="21">
        <f>IF(B9=0,0,H9/B9)</f>
        <v/>
      </c>
    </row>
    <row r="10">
      <c r="A10" s="9" t="inlineStr">
        <is>
          <t>externo</t>
        </is>
      </c>
      <c r="B10" s="18" t="n">
        <v>14</v>
      </c>
      <c r="C10" s="27">
        <f>SUMIF(COTAÇÃO!$B$4:$B$153,$A10,COTAÇÃO!$I$4:$I$153)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SUMIF(COTAÇÃO!$B$4:$B$153,$A10,COTAÇÃO!$T$4:$T$153)</f>
        <v/>
      </c>
      <c r="G10" s="21">
        <f>IF(OR(F10=0,C10=0),"",F10/C10-1)</f>
        <v/>
      </c>
      <c r="H10" s="18">
        <f>COUNTIFS(COTAÇÃO!$B$4:$B$153,$A10,COTAÇÃO!$O$4:$O$153,"&gt;0")</f>
        <v/>
      </c>
      <c r="I10" s="21">
        <f>IF(B10=0,0,H10/B10)</f>
        <v/>
      </c>
    </row>
    <row r="11">
      <c r="A11" s="9" t="inlineStr">
        <is>
          <t>estrutura</t>
        </is>
      </c>
      <c r="B11" s="18" t="n">
        <v>1</v>
      </c>
      <c r="C11" s="27">
        <f>SUMIF(COTAÇÃO!$B$4:$B$153,$A11,COTAÇÃO!$I$4:$I$153)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SUMIF(COTAÇÃO!$B$4:$B$153,$A11,COTAÇÃO!$T$4:$T$153)</f>
        <v/>
      </c>
      <c r="G11" s="21">
        <f>IF(OR(F11=0,C11=0),"",F11/C11-1)</f>
        <v/>
      </c>
      <c r="H11" s="18">
        <f>COUNTIFS(COTAÇÃO!$B$4:$B$153,$A11,COTAÇÃO!$O$4:$O$153,"&gt;0")</f>
        <v/>
      </c>
      <c r="I11" s="21">
        <f>IF(B11=0,0,H11/B11)</f>
        <v/>
      </c>
    </row>
    <row r="12">
      <c r="A12" s="9" t="inlineStr">
        <is>
          <t>fachada</t>
        </is>
      </c>
      <c r="B12" s="18" t="n">
        <v>11</v>
      </c>
      <c r="C12" s="27">
        <f>SUMIF(COTAÇÃO!$B$4:$B$153,$A12,COTAÇÃO!$I$4:$I$153)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SUMIF(COTAÇÃO!$B$4:$B$153,$A12,COTAÇÃO!$T$4:$T$153)</f>
        <v/>
      </c>
      <c r="G12" s="21">
        <f>IF(OR(F12=0,C12=0),"",F12/C12-1)</f>
        <v/>
      </c>
      <c r="H12" s="18">
        <f>COUNTIFS(COTAÇÃO!$B$4:$B$153,$A12,COTAÇÃO!$O$4:$O$153,"&gt;0")</f>
        <v/>
      </c>
      <c r="I12" s="21">
        <f>IF(B12=0,0,H12/B12)</f>
        <v/>
      </c>
    </row>
    <row r="13">
      <c r="A13" s="9" t="inlineStr">
        <is>
          <t>marcenaria</t>
        </is>
      </c>
      <c r="B13" s="18" t="n">
        <v>5</v>
      </c>
      <c r="C13" s="27">
        <f>SUMIF(COTAÇÃO!$B$4:$B$153,$A13,COTAÇÃO!$I$4:$I$153)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SUMIF(COTAÇÃO!$B$4:$B$153,$A13,COTAÇÃO!$T$4:$T$153)</f>
        <v/>
      </c>
      <c r="G13" s="21">
        <f>IF(OR(F13=0,C13=0),"",F13/C13-1)</f>
        <v/>
      </c>
      <c r="H13" s="18">
        <f>COUNTIFS(COTAÇÃO!$B$4:$B$153,$A13,COTAÇÃO!$O$4:$O$153,"&gt;0")</f>
        <v/>
      </c>
      <c r="I13" s="21">
        <f>IF(B13=0,0,H13/B13)</f>
        <v/>
      </c>
    </row>
    <row r="14">
      <c r="A14" s="9" t="inlineStr">
        <is>
          <t>servico</t>
        </is>
      </c>
      <c r="B14" s="18" t="n">
        <v>2</v>
      </c>
      <c r="C14" s="27">
        <f>SUMIF(COTAÇÃO!$B$4:$B$153,$A14,COTAÇÃO!$I$4:$I$153)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SUMIF(COTAÇÃO!$B$4:$B$153,$A14,COTAÇÃO!$T$4:$T$153)</f>
        <v/>
      </c>
      <c r="G14" s="21">
        <f>IF(OR(F14=0,C14=0),"",F14/C14-1)</f>
        <v/>
      </c>
      <c r="H14" s="18">
        <f>COUNTIFS(COTAÇÃO!$B$4:$B$153,$A14,COTAÇÃO!$O$4:$O$153,"&gt;0")</f>
        <v/>
      </c>
      <c r="I14" s="21">
        <f>IF(B14=0,0,H14/B14)</f>
        <v/>
      </c>
    </row>
    <row r="15">
      <c r="A15" s="9" t="inlineStr">
        <is>
          <t>instalacao</t>
        </is>
      </c>
      <c r="B15" s="18" t="n">
        <v>15</v>
      </c>
      <c r="C15" s="27">
        <f>SUMIF(COTAÇÃO!$B$4:$B$153,$A15,COTAÇÃO!$I$4:$I$153)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SUMIF(COTAÇÃO!$B$4:$B$153,$A15,COTAÇÃO!$T$4:$T$153)</f>
        <v/>
      </c>
      <c r="G15" s="21">
        <f>IF(OR(F15=0,C15=0),"",F15/C15-1)</f>
        <v/>
      </c>
      <c r="H15" s="18">
        <f>COUNTIFS(COTAÇÃO!$B$4:$B$153,$A15,COTAÇÃO!$O$4:$O$153,"&gt;0")</f>
        <v/>
      </c>
      <c r="I15" s="21">
        <f>IF(B15=0,0,H15/B15)</f>
        <v/>
      </c>
    </row>
    <row r="16">
      <c r="A16" s="9" t="inlineStr">
        <is>
          <t>pintura</t>
        </is>
      </c>
      <c r="B16" s="18" t="n">
        <v>4</v>
      </c>
      <c r="C16" s="27">
        <f>SUMIF(COTAÇÃO!$B$4:$B$153,$A16,COTAÇÃO!$I$4:$I$153)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SUMIF(COTAÇÃO!$B$4:$B$153,$A16,COTAÇÃO!$T$4:$T$153)</f>
        <v/>
      </c>
      <c r="G16" s="21">
        <f>IF(OR(F16=0,C16=0),"",F16/C16-1)</f>
        <v/>
      </c>
      <c r="H16" s="18">
        <f>COUNTIFS(COTAÇÃO!$B$4:$B$153,$A16,COTAÇÃO!$O$4:$O$153,"&gt;0")</f>
        <v/>
      </c>
      <c r="I16" s="21">
        <f>IF(B16=0,0,H16/B16)</f>
        <v/>
      </c>
    </row>
    <row r="17">
      <c r="A17" s="9" t="inlineStr">
        <is>
          <t>equipamentos</t>
        </is>
      </c>
      <c r="B17" s="18" t="n">
        <v>6</v>
      </c>
      <c r="C17" s="27">
        <f>SUMIF(COTAÇÃO!$B$4:$B$153,$A17,COTAÇÃO!$I$4:$I$153)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SUMIF(COTAÇÃO!$B$4:$B$153,$A17,COTAÇÃO!$T$4:$T$153)</f>
        <v/>
      </c>
      <c r="G17" s="21">
        <f>IF(OR(F17=0,C17=0),"",F17/C17-1)</f>
        <v/>
      </c>
      <c r="H17" s="18">
        <f>COUNTIFS(COTAÇÃO!$B$4:$B$153,$A17,COTAÇÃO!$O$4:$O$153,"&gt;0")</f>
        <v/>
      </c>
      <c r="I17" s="21">
        <f>IF(B17=0,0,H17/B17)</f>
        <v/>
      </c>
    </row>
    <row r="18">
      <c r="A18" s="9" t="inlineStr">
        <is>
          <t>loucas</t>
        </is>
      </c>
      <c r="B18" s="18" t="n">
        <v>15</v>
      </c>
      <c r="C18" s="27">
        <f>SUMIF(COTAÇÃO!$B$4:$B$153,$A18,COTAÇÃO!$I$4:$I$153)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SUMIF(COTAÇÃO!$B$4:$B$153,$A18,COTAÇÃO!$T$4:$T$153)</f>
        <v/>
      </c>
      <c r="G18" s="21">
        <f>IF(OR(F18=0,C18=0),"",F18/C18-1)</f>
        <v/>
      </c>
      <c r="H18" s="18">
        <f>COUNTIFS(COTAÇÃO!$B$4:$B$153,$A18,COTAÇÃO!$O$4:$O$153,"&gt;0")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SUMIF(COTAÇÃO!$B$4:$B$153,$A19,COTAÇÃO!$I$4:$I$153)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SUMIF(COTAÇÃO!$B$4:$B$153,$A19,COTAÇÃO!$T$4:$T$153)</f>
        <v/>
      </c>
      <c r="G19" s="21">
        <f>IF(OR(F19=0,C19=0),"",F19/C19-1)</f>
        <v/>
      </c>
      <c r="H19" s="18">
        <f>COUNTIFS(COTAÇÃO!$B$4:$B$153,$A19,COTAÇÃO!$O$4:$O$153,"&gt;0")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SUMIF(COTAÇÃO!$B$4:$B$153,$A20,COTAÇÃO!$I$4:$I$153)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SUMIF(COTAÇÃO!$B$4:$B$153,$A20,COTAÇÃO!$T$4:$T$153)</f>
        <v/>
      </c>
      <c r="G20" s="21">
        <f>IF(OR(F20=0,C20=0),"",F20/C20-1)</f>
        <v/>
      </c>
      <c r="H20" s="18">
        <f>COUNTIFS(COTAÇÃO!$B$4:$B$153,$A20,COTAÇÃO!$O$4:$O$153,"&gt;0")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18.72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2834.4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885.8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188.1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190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MEP-ISOL</t>
        </is>
      </c>
      <c r="B55" s="10" t="inlineStr">
        <is>
          <t>instalacao</t>
        </is>
      </c>
      <c r="C55" s="11" t="inlineStr">
        <is>
          <t>Isolamento de linha</t>
        </is>
      </c>
      <c r="D55" s="10" t="inlineStr">
        <is>
          <t>m</t>
        </is>
      </c>
      <c r="E55" s="14" t="n">
        <v>112</v>
      </c>
      <c r="F55" s="11" t="inlineStr">
        <is>
          <t>tubo, conexao ou condutor conforme descricao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MEP-DISJ</t>
        </is>
      </c>
      <c r="B56" s="10" t="inlineStr">
        <is>
          <t>instalacao</t>
        </is>
      </c>
      <c r="C56" s="11" t="inlineStr">
        <is>
          <t>Disjuntor</t>
        </is>
      </c>
      <c r="D56" s="10" t="inlineStr">
        <is>
          <t>un</t>
        </is>
      </c>
      <c r="E56" s="14" t="n">
        <v>36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MEP-ESGO50</t>
        </is>
      </c>
      <c r="B57" s="10" t="inlineStr">
        <is>
          <t>instalacao</t>
        </is>
      </c>
      <c r="C57" s="11" t="inlineStr">
        <is>
          <t>Tubo esgoto DN50</t>
        </is>
      </c>
      <c r="D57" s="10" t="inlineStr">
        <is>
          <t>m</t>
        </is>
      </c>
      <c r="E57" s="14" t="n">
        <v>50.6</v>
      </c>
      <c r="F57" s="11" t="inlineStr">
        <is>
          <t>tubo, conexao ou condutor conforme descricao; DN50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112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4" t="n">
        <v>155.4</v>
      </c>
      <c r="F65" s="11" t="inlineStr">
        <is>
          <t>placa cimenticia 1.200 x 2.400 com revestimento mineral aplicado em fabrica, cor clara, junta seca de 6 mm com perfil EPDM — face externa do volume superior e da platibanda</t>
        </is>
      </c>
      <c r="G65" s="11" t="inlineStr">
        <is>
          <t>NBR 13245, NBR 15498</t>
        </is>
      </c>
      <c r="H65" s="11" t="inlineStr">
        <is>
          <t>fabricante e linha do revestimento mineral: acabamento de fachada e decisao do proprietario</t>
        </is>
      </c>
      <c r="I65" s="18" t="inlineStr">
        <is>
          <t>sim</t>
        </is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4" t="n">
        <v>205.5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4" t="n">
        <v>192</v>
      </c>
      <c r="F67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7" s="11" t="inlineStr">
        <is>
          <t>NBR 13245, NBR 15498</t>
        </is>
      </c>
      <c r="H67" s="11" t="inlineStr"/>
      <c r="I67" s="18" t="inlineStr">
        <is>
          <t>sim</t>
        </is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4" t="n">
        <v>2</v>
      </c>
      <c r="F69" s="11" t="inlineStr"/>
      <c r="G69" s="11" t="inlineStr"/>
      <c r="H69" s="11" t="inlineStr">
        <is>
          <t>o modelo nao sabe descrever este item para um fornecedor</t>
        </is>
      </c>
      <c r="I69" s="18" t="inlineStr">
        <is>
          <t>com lacuna</t>
        </is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4" t="n">
        <v>194.3</v>
      </c>
      <c r="F70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0" s="11" t="inlineStr">
        <is>
          <t>NBR 13245, NBR 15498</t>
        </is>
      </c>
      <c r="H70" s="11" t="inlineStr"/>
      <c r="I70" s="18" t="inlineStr">
        <is>
          <t>sim</t>
        </is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4" t="n">
        <v>54.8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4" t="n">
        <v>239.9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4" t="n">
        <v>211.2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4" t="n">
        <v>33.6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4" t="n">
        <v>66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4" t="n">
        <v>3118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4" t="n">
        <v>33.12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4" t="n">
        <v>4.57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4" t="n">
        <v>43.2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4" t="n">
        <v>30.43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4" t="n">
        <v>24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4" t="n">
        <v>137.16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4" t="n">
        <v>249.5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4" t="n">
        <v>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4" t="n">
        <v>24.3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4" t="n">
        <v>17.4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4" t="n">
        <v>30.96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4" t="n">
        <v>14.04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4" t="n">
        <v>2.99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4" t="n">
        <v>844.7</v>
      </c>
      <c r="F90" s="11" t="inlineStr">
        <is>
          <t>hora de equipe, com encargos e EPI</t>
        </is>
      </c>
      <c r="G90" s="11" t="inlineStr"/>
      <c r="H90" s="11" t="inlineStr">
        <is>
          <t>convencao coletiva vigente e composicao de encargos</t>
        </is>
      </c>
      <c r="I90" s="18" t="inlineStr">
        <is>
          <t>sim</t>
        </is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4" t="n">
        <v>50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4" t="n">
        <v>355.6</v>
      </c>
      <c r="F92" s="11" t="inlineStr">
        <is>
          <t>revestimento ceramico conforme quadro de acabamentos por ambiente; area ja com 10 % de perda de corte e quebra</t>
        </is>
      </c>
      <c r="G92" s="11" t="inlineStr">
        <is>
          <t>NBR 13818, NBR 15463</t>
        </is>
      </c>
      <c r="H92" s="11" t="inlineStr">
        <is>
          <t>linha, formato e PEI: o modelo define o TIPO por ambiente, a linha e escolha de acabamento</t>
        </is>
      </c>
      <c r="I92" s="18" t="inlineStr">
        <is>
          <t>sim</t>
        </is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4" t="n">
        <v>29</v>
      </c>
      <c r="F93" s="11" t="inlineStr">
        <is>
          <t>sistema fotovoltaico conectado a rede (on-grid), microgeracao REN ANEEL 1.000/2021; modulos monocristalinos, inversor string trifasico com monitoramento</t>
        </is>
      </c>
      <c r="G93" s="11" t="inlineStr">
        <is>
          <t>NBR 16274, NBR 16690, Portaria INMETRO 140/2022</t>
        </is>
      </c>
      <c r="H93" s="11" t="inlineStr">
        <is>
          <t>marca e modelo de modulo e inversor; a potencia e a area estao dimensionadas, o produto e cotacao</t>
        </is>
      </c>
      <c r="I93" s="18" t="inlineStr">
        <is>
          <t>sim</t>
        </is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4" t="n">
        <v>12</v>
      </c>
      <c r="F94" s="11" t="inlineStr">
        <is>
          <t>marcenaria sob medida conforme planta de layout; MDF 18 mm com acabamento em laminado ou pintura PU; ferragem com amortecedor</t>
        </is>
      </c>
      <c r="G94" s="11" t="inlineStr"/>
      <c r="H94" s="11" t="inlineStr">
        <is>
          <t>desenho executivo de marcenaria: a planta da a extensao e a profundidade, nao o interior do movel</t>
        </is>
      </c>
      <c r="I94" s="18" t="inlineStr">
        <is>
          <t>sim</t>
        </is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4" t="n">
        <v>640.8</v>
      </c>
      <c r="F95" s="11" t="inlineStr">
        <is>
          <t>tinta e mao de obra conforme especificacao de acabamento; 2 demaos sobre selador; rendimento declarado na quantidade</t>
        </is>
      </c>
      <c r="G95" s="11" t="inlineStr">
        <is>
          <t>NBR 11702, NBR 13245</t>
        </is>
      </c>
      <c r="H95" s="11" t="inlineStr"/>
      <c r="I95" s="18" t="inlineStr">
        <is>
          <t>sim</t>
        </is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4" t="n">
        <v>155.5</v>
      </c>
      <c r="F96" s="11" t="inlineStr">
        <is>
          <t>revestimento ceramico conforme quadro de acabamentos por ambiente; area ja com 10 % de perda de corte e quebra</t>
        </is>
      </c>
      <c r="G96" s="11" t="inlineStr">
        <is>
          <t>NBR 13818, NBR 15463</t>
        </is>
      </c>
      <c r="H96" s="11" t="inlineStr">
        <is>
          <t>linha, formato e PEI: o modelo define o TIPO por ambiente, a linha e escolha de acabamento</t>
        </is>
      </c>
      <c r="I96" s="18" t="inlineStr">
        <is>
          <t>sim</t>
        </is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4" t="n">
        <v>4</v>
      </c>
      <c r="F97" s="11" t="inlineStr">
        <is>
          <t>equipamento novo, com garantia de fabrica e instalacao por credenciado; inverter, ciclo frio, R-32 ou R-410A, classe A</t>
        </is>
      </c>
      <c r="G97" s="11" t="inlineStr">
        <is>
          <t>NBR 16401, Portaria INMETRO de eficiencia</t>
        </is>
      </c>
      <c r="H97" s="11" t="inlineStr">
        <is>
          <t>marca e modelo: a capacidade esta dimensionada, a escolha do equipamento e do proprietario</t>
        </is>
      </c>
      <c r="I97" s="18" t="inlineStr">
        <is>
          <t>sim</t>
        </is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4" t="n">
        <v>16.1</v>
      </c>
      <c r="F98" s="11" t="inlineStr">
        <is>
          <t>louca / metal sanitario de linha comercial, cor branca para louca e acabamento cromado para metal; quantidade contada das pecas LOCADAS em planta, nao estimada por comodo</t>
        </is>
      </c>
      <c r="G98" s="11" t="inlineStr">
        <is>
          <t>NBR 15097, NBR 15705</t>
        </is>
      </c>
      <c r="H98" s="11" t="inlineStr">
        <is>
          <t>linha e fabricante: louca e metal sao decisao de acabamento do proprietario, e a mesma peca varia 3x de preco entre linhas</t>
        </is>
      </c>
      <c r="I98" s="18" t="inlineStr">
        <is>
          <t>sim</t>
        </is>
      </c>
    </row>
    <row r="99">
      <c r="A99" s="9" t="inlineStr">
        <is>
          <t>REV-ARG</t>
        </is>
      </c>
      <c r="B99" s="10" t="inlineStr">
        <is>
          <t>revestimento</t>
        </is>
      </c>
      <c r="C99" s="11" t="inlineStr">
        <is>
          <t>Argamassa colante AC-III e regularizacao</t>
        </is>
      </c>
      <c r="D99" s="10" t="inlineStr">
        <is>
          <t>m2</t>
        </is>
      </c>
      <c r="E99" s="14" t="n">
        <v>511.1</v>
      </c>
      <c r="F99" s="11" t="inlineStr">
        <is>
          <t>revestimento ceramico conforme quadro de acabamentos por ambiente; area ja com 10 % de perda de corte e quebra</t>
        </is>
      </c>
      <c r="G99" s="11" t="inlineStr">
        <is>
          <t>NBR 13818, NBR 15463</t>
        </is>
      </c>
      <c r="H99" s="11" t="inlineStr">
        <is>
          <t>linha, formato e PEI: o modelo define o TIPO por ambiente, a linha e escolha de acabamento</t>
        </is>
      </c>
      <c r="I99" s="18" t="inlineStr">
        <is>
          <t>sim</t>
        </is>
      </c>
    </row>
    <row r="100">
      <c r="A100" s="9" t="inlineStr">
        <is>
          <t>MAR-TAMPO</t>
        </is>
      </c>
      <c r="B100" s="10" t="inlineStr">
        <is>
          <t>marcenaria</t>
        </is>
      </c>
      <c r="C100" s="11" t="inlineStr">
        <is>
          <t>Tampo de bancada (quartzo/granito)</t>
        </is>
      </c>
      <c r="D100" s="10" t="inlineStr">
        <is>
          <t>m2</t>
        </is>
      </c>
      <c r="E100" s="14" t="n">
        <v>7.17</v>
      </c>
      <c r="F100" s="11" t="inlineStr">
        <is>
          <t>marcenaria sob medida conforme planta de layout; MDF 18 mm com acabamento em laminado ou pintura PU; ferragem com amortecedor</t>
        </is>
      </c>
      <c r="G100" s="11" t="inlineStr"/>
      <c r="H100" s="11" t="inlineStr">
        <is>
          <t>desenho executivo de marcenaria: a planta da a extensao e a profundidade, nao o interior do movel</t>
        </is>
      </c>
      <c r="I100" s="18" t="inlineStr">
        <is>
          <t>sim</t>
        </is>
      </c>
    </row>
    <row r="101">
      <c r="A101" s="9" t="inlineStr">
        <is>
          <t>FV-INSTAL</t>
        </is>
      </c>
      <c r="B101" s="10" t="inlineStr">
        <is>
          <t>eletrica</t>
        </is>
      </c>
      <c r="C101" s="11" t="inlineStr">
        <is>
          <t>Instalacao e comissionamento</t>
        </is>
      </c>
      <c r="D101" s="10" t="inlineStr">
        <is>
          <t>kWp</t>
        </is>
      </c>
      <c r="E101" s="14" t="n">
        <v>15.95</v>
      </c>
      <c r="F101" s="11" t="inlineStr">
        <is>
          <t>sistema fotovoltaico conectado a rede (on-grid), microgeracao REN ANEEL 1.000/2021; modulos monocristalinos, inversor string trifasico com monitoramento</t>
        </is>
      </c>
      <c r="G101" s="11" t="inlineStr">
        <is>
          <t>NBR 16274, NBR 16690, Portaria INMETRO 140/2022</t>
        </is>
      </c>
      <c r="H101" s="11" t="inlineStr">
        <is>
          <t>marca e modelo de modulo e inversor; a potencia e a area estao dimensionadas, o produto e cotacao</t>
        </is>
      </c>
      <c r="I101" s="18" t="inlineStr">
        <is>
          <t>sim</t>
        </is>
      </c>
    </row>
    <row r="102">
      <c r="A102" s="9" t="inlineStr">
        <is>
          <t>FV-ESTRUTURA</t>
        </is>
      </c>
      <c r="B102" s="10" t="inlineStr">
        <is>
          <t>eletrica</t>
        </is>
      </c>
      <c r="C102" s="11" t="inlineStr">
        <is>
          <t>Estrutura de fixacao em aluminio sobre terca</t>
        </is>
      </c>
      <c r="D102" s="10" t="inlineStr">
        <is>
          <t>m2</t>
        </is>
      </c>
      <c r="E102" s="14" t="n">
        <v>86.2</v>
      </c>
      <c r="F102" s="11" t="inlineStr">
        <is>
          <t>sistema fotovoltaico conectado a rede (on-grid), microgeracao REN ANEEL 1.000/2021; modulos monocristalinos, inversor string trifasico com monitoramento</t>
        </is>
      </c>
      <c r="G102" s="11" t="inlineStr">
        <is>
          <t>NBR 16274, NBR 16690, Portaria INMETRO 140/2022</t>
        </is>
      </c>
      <c r="H102" s="11" t="inlineStr">
        <is>
          <t>marca e modelo de modulo e inversor; a potencia e a area estao dimensionadas, o produto e cotacao</t>
        </is>
      </c>
      <c r="I102" s="18" t="inlineStr">
        <is>
          <t>sim</t>
        </is>
      </c>
    </row>
    <row r="103">
      <c r="A103" s="9" t="inlineStr">
        <is>
          <t>PIN-TINTA</t>
        </is>
      </c>
      <c r="B103" s="10" t="inlineStr">
        <is>
          <t>pintura</t>
        </is>
      </c>
      <c r="C103" s="11" t="inlineStr">
        <is>
          <t>Tinta latex (2 demaos, rendimento 10 m2/L)</t>
        </is>
      </c>
      <c r="D103" s="10" t="inlineStr">
        <is>
          <t>L</t>
        </is>
      </c>
      <c r="E103" s="14" t="n">
        <v>179.6</v>
      </c>
      <c r="F103" s="11" t="inlineStr">
        <is>
          <t>tinta e mao de obra conforme especificacao de acabamento; 2 demaos sobre selador; rendimento declarado na quantidade</t>
        </is>
      </c>
      <c r="G103" s="11" t="inlineStr">
        <is>
          <t>NBR 11702, NBR 13245</t>
        </is>
      </c>
      <c r="H103" s="11" t="inlineStr"/>
      <c r="I103" s="18" t="inlineStr">
        <is>
          <t>sim</t>
        </is>
      </c>
    </row>
    <row r="104">
      <c r="A104" s="9" t="inlineStr">
        <is>
          <t>REV-RODAPE</t>
        </is>
      </c>
      <c r="B104" s="10" t="inlineStr">
        <is>
          <t>revestimento</t>
        </is>
      </c>
      <c r="C104" s="11" t="inlineStr">
        <is>
          <t>Rodape (poliestireno 100 mm, pintado)</t>
        </is>
      </c>
      <c r="D104" s="10" t="inlineStr">
        <is>
          <t>m</t>
        </is>
      </c>
      <c r="E104" s="14" t="n">
        <v>220.9</v>
      </c>
      <c r="F104" s="11" t="inlineStr">
        <is>
          <t>revestimento ceramico conforme quadro de acabamentos por ambiente; area ja com 10 % de perda de corte e quebra</t>
        </is>
      </c>
      <c r="G104" s="11" t="inlineStr">
        <is>
          <t>NBR 13818, NBR 15463</t>
        </is>
      </c>
      <c r="H104" s="11" t="inlineStr">
        <is>
          <t>linha, formato e PEI: o modelo define o TIPO por ambiente, a linha e escolha de acabamento</t>
        </is>
      </c>
      <c r="I104" s="18" t="inlineStr">
        <is>
          <t>sim</t>
        </is>
      </c>
    </row>
    <row r="105">
      <c r="A105" s="9" t="inlineStr">
        <is>
          <t>FV-INVERSOR</t>
        </is>
      </c>
      <c r="B105" s="10" t="inlineStr">
        <is>
          <t>eletrica</t>
        </is>
      </c>
      <c r="C105" s="11" t="inlineStr">
        <is>
          <t>Inversor string 12 kW, trifasico 220 V</t>
        </is>
      </c>
      <c r="D105" s="10" t="inlineStr">
        <is>
          <t>kW</t>
        </is>
      </c>
      <c r="E105" s="14" t="n">
        <v>12</v>
      </c>
      <c r="F105" s="11" t="inlineStr">
        <is>
          <t>sistema fotovoltaico conectado a rede (on-grid), microgeracao REN ANEEL 1.000/2021; modulos monocristalinos, inversor string trifasico com monitoramento</t>
        </is>
      </c>
      <c r="G105" s="11" t="inlineStr">
        <is>
          <t>NBR 16274, NBR 16690, Portaria INMETRO 140/2022</t>
        </is>
      </c>
      <c r="H105" s="11" t="inlineStr">
        <is>
          <t>marca e modelo de modulo e inversor; a potencia e a area estao dimensionadas, o produto e cotacao</t>
        </is>
      </c>
      <c r="I105" s="18" t="inlineStr">
        <is>
          <t>sim</t>
        </is>
      </c>
    </row>
    <row r="106">
      <c r="A106" s="9" t="inlineStr">
        <is>
          <t>PIN-FORRO</t>
        </is>
      </c>
      <c r="B106" s="10" t="inlineStr">
        <is>
          <t>pintura</t>
        </is>
      </c>
      <c r="C106" s="11" t="inlineStr">
        <is>
          <t>Pintura de forro (latex PVA fosco)</t>
        </is>
      </c>
      <c r="D106" s="10" t="inlineStr">
        <is>
          <t>m2</t>
        </is>
      </c>
      <c r="E106" s="14" t="n">
        <v>257</v>
      </c>
      <c r="F106" s="11" t="inlineStr">
        <is>
          <t>tinta e mao de obra conforme especificacao de acabamento; 2 demaos sobre selador; rendimento declarado na quantidade</t>
        </is>
      </c>
      <c r="G106" s="11" t="inlineStr">
        <is>
          <t>NBR 11702, NBR 13245</t>
        </is>
      </c>
      <c r="H106" s="11" t="inlineStr"/>
      <c r="I106" s="18" t="inlineStr">
        <is>
          <t>sim</t>
        </is>
      </c>
    </row>
    <row r="107">
      <c r="A107" s="9" t="inlineStr">
        <is>
          <t>EQP-SPLIT9</t>
        </is>
      </c>
      <c r="B107" s="10" t="inlineStr">
        <is>
          <t>equipamentos</t>
        </is>
      </c>
      <c r="C107" s="11" t="inlineStr">
        <is>
          <t>Split inverter 9.000 BTU/h</t>
        </is>
      </c>
      <c r="D107" s="10" t="inlineStr">
        <is>
          <t>un</t>
        </is>
      </c>
      <c r="E107" s="14" t="n">
        <v>3</v>
      </c>
      <c r="F107" s="11" t="inlineStr">
        <is>
          <t>equipamento novo, com garantia de fabrica e instalacao por credenciado; inverter, ciclo frio, R-32 ou R-410A, classe A</t>
        </is>
      </c>
      <c r="G107" s="11" t="inlineStr">
        <is>
          <t>NBR 16401, Portaria INMETRO de eficiencia</t>
        </is>
      </c>
      <c r="H107" s="11" t="inlineStr">
        <is>
          <t>marca e modelo: a capacidade esta dimensionada, a escolha do equipamento e do proprietario</t>
        </is>
      </c>
      <c r="I107" s="18" t="inlineStr">
        <is>
          <t>sim</t>
        </is>
      </c>
    </row>
    <row r="108">
      <c r="A108" s="9" t="inlineStr">
        <is>
          <t>SPD-CAPTOR</t>
        </is>
      </c>
      <c r="B108" s="10" t="inlineStr">
        <is>
          <t>eletrica</t>
        </is>
      </c>
      <c r="C108" s="11" t="inlineStr">
        <is>
          <t>Captor: cabo de aluminio 70 mm2 no perimetro da cobertura</t>
        </is>
      </c>
      <c r="D108" s="10" t="inlineStr">
        <is>
          <t>m</t>
        </is>
      </c>
      <c r="E108" s="14" t="n">
        <v>160.8</v>
      </c>
      <c r="F108" s="11" t="inlineStr">
        <is>
          <t>SPDA conforme NBR 5419-3, classe IV: captor em anel no perimetro da cobertura, descidas naturais pela estrutura de aco com continuidade ensaiada, anel de aterramento no radier</t>
        </is>
      </c>
      <c r="G108" s="11" t="inlineStr">
        <is>
          <t>NBR 5410, NBR 5419-3, NBR 5419-4</t>
        </is>
      </c>
      <c r="H108" s="11" t="inlineStr">
        <is>
          <t>laudo de continuidade eletrica da estrutura e medicao de resistencia de aterramento apos a execucao</t>
        </is>
      </c>
      <c r="I108" s="18" t="inlineStr">
        <is>
          <t>sim</t>
        </is>
      </c>
    </row>
    <row r="109">
      <c r="A109" s="9" t="inlineStr">
        <is>
          <t>MAR-ARM</t>
        </is>
      </c>
      <c r="B109" s="10" t="inlineStr">
        <is>
          <t>marcenaria</t>
        </is>
      </c>
      <c r="C109" s="11" t="inlineStr">
        <is>
          <t>Armario de MDF sob medida</t>
        </is>
      </c>
      <c r="D109" s="10" t="inlineStr">
        <is>
          <t>m2</t>
        </is>
      </c>
      <c r="E109" s="14" t="n">
        <v>5.94</v>
      </c>
      <c r="F109" s="11" t="inlineStr">
        <is>
          <t>marcenaria sob medida conforme planta de layout; MDF 18 mm com acabamento em laminado ou pintura PU; ferragem com amortecedor</t>
        </is>
      </c>
      <c r="G109" s="11" t="inlineStr"/>
      <c r="H109" s="11" t="inlineStr">
        <is>
          <t>desenho executivo de marcenaria: a planta da a extensao e a profundidade, nao o interior do movel</t>
        </is>
      </c>
      <c r="I109" s="18" t="inlineStr">
        <is>
          <t>sim</t>
        </is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4" t="n">
        <v>45</v>
      </c>
      <c r="F11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0" s="11" t="inlineStr">
        <is>
          <t>NBR ISO/CIE 8995-1, Portaria INMETRO 20/2017 (LED)</t>
        </is>
      </c>
      <c r="H110" s="11" t="inlineStr">
        <is>
          <t>marca e modelo: o fluxo e a potencia de cada tipo estao declarados; o produto e escolha de acabamento</t>
        </is>
      </c>
      <c r="I110" s="18" t="inlineStr">
        <is>
          <t>sim</t>
        </is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4" t="n">
        <v>1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4" t="n">
        <v>31</v>
      </c>
      <c r="F11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2" s="11" t="inlineStr">
        <is>
          <t>NBR ISO/CIE 8995-1, Portaria INMETRO 20/2017 (LED)</t>
        </is>
      </c>
      <c r="H112" s="11" t="inlineStr">
        <is>
          <t>marca e modelo: o fluxo e a potencia de cada tipo estao declarados; o produto e escolha de acabamento</t>
        </is>
      </c>
      <c r="I112" s="18" t="inlineStr">
        <is>
          <t>sim</t>
        </is>
      </c>
    </row>
    <row r="113">
      <c r="A113" s="9" t="inlineStr">
        <is>
          <t>REV-REJ</t>
        </is>
      </c>
      <c r="B113" s="10" t="inlineStr">
        <is>
          <t>revestimento</t>
        </is>
      </c>
      <c r="C113" s="11" t="inlineStr">
        <is>
          <t>Rejunte epoxi/acrilico</t>
        </is>
      </c>
      <c r="D113" s="10" t="inlineStr">
        <is>
          <t>m2</t>
        </is>
      </c>
      <c r="E113" s="14" t="n">
        <v>511.1</v>
      </c>
      <c r="F113" s="11" t="inlineStr">
        <is>
          <t>revestimento ceramico conforme quadro de acabamentos por ambiente; area ja com 10 % de perda de corte e quebra</t>
        </is>
      </c>
      <c r="G113" s="11" t="inlineStr">
        <is>
          <t>NBR 13818, NBR 15463</t>
        </is>
      </c>
      <c r="H113" s="11" t="inlineStr">
        <is>
          <t>linha, formato e PEI: o modelo define o TIPO por ambiente, a linha e escolha de acabamento</t>
        </is>
      </c>
      <c r="I113" s="18" t="inlineStr">
        <is>
          <t>sim</t>
        </is>
      </c>
    </row>
    <row r="114">
      <c r="A114" s="9" t="inlineStr">
        <is>
          <t>LOU-VASO</t>
        </is>
      </c>
      <c r="B114" s="10" t="inlineStr">
        <is>
          <t>loucas</t>
        </is>
      </c>
      <c r="C114" s="11" t="inlineStr">
        <is>
          <t>Bacia sanitaria com caixa acoplada</t>
        </is>
      </c>
      <c r="D114" s="10" t="inlineStr">
        <is>
          <t>un</t>
        </is>
      </c>
      <c r="E114" s="14" t="n">
        <v>5</v>
      </c>
      <c r="F114" s="11" t="inlineStr">
        <is>
          <t>louca / metal sanitario de linha comercial, cor branca para louca e acabamento cromado para metal; quantidade contada das pecas LOCADAS em planta, nao estimada por comodo</t>
        </is>
      </c>
      <c r="G114" s="11" t="inlineStr">
        <is>
          <t>NBR 15097, NBR 15705</t>
        </is>
      </c>
      <c r="H114" s="11" t="inlineStr">
        <is>
          <t>linha e fabricante: louca e metal sao decisao de acabamento do proprietario, e a mesma peca varia 3x de preco entre linhas</t>
        </is>
      </c>
      <c r="I114" s="18" t="inlineStr">
        <is>
          <t>sim</t>
        </is>
      </c>
    </row>
    <row r="115">
      <c r="A115" s="9" t="inlineStr">
        <is>
          <t>MAR-CAB</t>
        </is>
      </c>
      <c r="B115" s="10" t="inlineStr">
        <is>
          <t>marcenaria</t>
        </is>
      </c>
      <c r="C115" s="11" t="inlineStr">
        <is>
          <t>Cabideiro e gaveteiro de closet</t>
        </is>
      </c>
      <c r="D115" s="10" t="inlineStr">
        <is>
          <t>m</t>
        </is>
      </c>
      <c r="E115" s="14" t="n">
        <v>12</v>
      </c>
      <c r="F115" s="11" t="inlineStr">
        <is>
          <t>marcenaria sob medida conforme planta de layout; MDF 18 mm com acabamento em laminado ou pintura PU; ferragem com amortecedor</t>
        </is>
      </c>
      <c r="G115" s="11" t="inlineStr"/>
      <c r="H115" s="11" t="inlineStr">
        <is>
          <t>desenho executivo de marcenaria: a planta da a extensao e a profundidade, nao o interior do movel</t>
        </is>
      </c>
      <c r="I115" s="18" t="inlineStr">
        <is>
          <t>sim</t>
        </is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4" t="n">
        <v>17.4</v>
      </c>
      <c r="F11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6" s="11" t="inlineStr">
        <is>
          <t>NBR ISO/CIE 8995-1, Portaria INMETRO 20/2017 (LED)</t>
        </is>
      </c>
      <c r="H116" s="11" t="inlineStr">
        <is>
          <t>marca e modelo: o fluxo e a potencia de cada tipo estao declarados; o produto e escolha de acabamento</t>
        </is>
      </c>
      <c r="I116" s="18" t="inlineStr">
        <is>
          <t>sim</t>
        </is>
      </c>
    </row>
    <row r="117">
      <c r="A117" s="9" t="inlineStr">
        <is>
          <t>SPD-ANEL</t>
        </is>
      </c>
      <c r="B117" s="10" t="inlineStr">
        <is>
          <t>eletrica</t>
        </is>
      </c>
      <c r="C117" s="11" t="inlineStr">
        <is>
          <t>Anel de aterramento: cobre nu 50 mm2 no perimetro do radier</t>
        </is>
      </c>
      <c r="D117" s="10" t="inlineStr">
        <is>
          <t>m</t>
        </is>
      </c>
      <c r="E117" s="14" t="n">
        <v>63.6</v>
      </c>
      <c r="F117" s="11" t="inlineStr">
        <is>
          <t>SPDA conforme NBR 5419-3, classe IV: captor em anel no perimetro da cobertura, descidas naturais pela estrutura de aco com continuidade ensaiada, anel de aterramento no radier</t>
        </is>
      </c>
      <c r="G117" s="11" t="inlineStr">
        <is>
          <t>NBR 5410, NBR 5419-3, NBR 5419-4</t>
        </is>
      </c>
      <c r="H117" s="11" t="inlineStr">
        <is>
          <t>laudo de continuidade eletrica da estrutura e medicao de resistencia de aterramento apos a execucao</t>
        </is>
      </c>
      <c r="I117" s="18" t="inlineStr">
        <is>
          <t>sim</t>
        </is>
      </c>
    </row>
    <row r="118">
      <c r="A118" s="9" t="inlineStr">
        <is>
          <t>REV-FORRO-ACUST</t>
        </is>
      </c>
      <c r="B118" s="10" t="inlineStr">
        <is>
          <t>revestimento</t>
        </is>
      </c>
      <c r="C118" s="11" t="inlineStr">
        <is>
          <t>Forro absorvente perfurado (alfa 0,70), acabado de fabrica</t>
        </is>
      </c>
      <c r="D118" s="10" t="inlineStr">
        <is>
          <t>m2</t>
        </is>
      </c>
      <c r="E118" s="14" t="n">
        <v>30.2</v>
      </c>
      <c r="F118" s="11" t="inlineStr">
        <is>
          <t>revestimento ceramico conforme quadro de acabamentos por ambiente; area ja com 10 % de perda de corte e quebra</t>
        </is>
      </c>
      <c r="G118" s="11" t="inlineStr">
        <is>
          <t>NBR 13818, NBR 15463</t>
        </is>
      </c>
      <c r="H118" s="11" t="inlineStr">
        <is>
          <t>linha, formato e PEI: o modelo define o TIPO por ambiente, a linha e escolha de acabamento</t>
        </is>
      </c>
      <c r="I118" s="18" t="inlineStr">
        <is>
          <t>sim</t>
        </is>
      </c>
    </row>
    <row r="119">
      <c r="A119" s="9" t="inlineStr">
        <is>
          <t>EQP-PISC</t>
        </is>
      </c>
      <c r="B119" s="10" t="inlineStr">
        <is>
          <t>equipamentos</t>
        </is>
      </c>
      <c r="C119" s="11" t="inlineStr">
        <is>
          <t>Conjunto da piscina: bomba, filtro e tratamento</t>
        </is>
      </c>
      <c r="D119" s="10" t="inlineStr">
        <is>
          <t>cj</t>
        </is>
      </c>
      <c r="E119" s="14" t="n">
        <v>1</v>
      </c>
      <c r="F119" s="11" t="inlineStr">
        <is>
          <t>equipamento novo, com garantia de fabrica e instalacao por credenciado</t>
        </is>
      </c>
      <c r="G119" s="11" t="inlineStr"/>
      <c r="H119" s="11" t="inlineStr">
        <is>
          <t>marca e modelo: a capacidade esta dimensionada, a escolha do equipamento e do proprietario</t>
        </is>
      </c>
      <c r="I119" s="18" t="inlineStr">
        <is>
          <t>sim</t>
        </is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4" t="n">
        <v>8</v>
      </c>
      <c r="F120" s="11" t="inlineStr">
        <is>
          <t>louca / metal sanitario de linha comercial, cor branca para louca e acabamento cromado para metal; quantidade contada das pecas LOCADAS em planta, nao estimada por comodo</t>
        </is>
      </c>
      <c r="G120" s="11" t="inlineStr">
        <is>
          <t>NBR 15097, NBR 15705</t>
        </is>
      </c>
      <c r="H120" s="11" t="inlineStr">
        <is>
          <t>linha e fabricante: louca e metal sao decisao de acabamento do proprietario, e a mesma peca varia 3x de preco entre linhas</t>
        </is>
      </c>
      <c r="I120" s="18" t="inlineStr">
        <is>
          <t>sim</t>
        </is>
      </c>
    </row>
    <row r="121">
      <c r="A121" s="9" t="inlineStr">
        <is>
          <t>EQP-PORTAO</t>
        </is>
      </c>
      <c r="B121" s="10" t="inlineStr">
        <is>
          <t>equipamentos</t>
        </is>
      </c>
      <c r="C121" s="11" t="inlineStr">
        <is>
          <t>Automatizador de portao de correr</t>
        </is>
      </c>
      <c r="D121" s="10" t="inlineStr">
        <is>
          <t>un</t>
        </is>
      </c>
      <c r="E121" s="14" t="n">
        <v>1</v>
      </c>
      <c r="F121" s="11" t="inlineStr">
        <is>
          <t>equipamento novo, com garantia de fabrica e instalacao por credenciado</t>
        </is>
      </c>
      <c r="G121" s="11" t="inlineStr"/>
      <c r="H121" s="11" t="inlineStr">
        <is>
          <t>marca e modelo: a capacidade esta dimensionada, a escolha do equipamento e do proprietario</t>
        </is>
      </c>
      <c r="I121" s="18" t="inlineStr">
        <is>
          <t>sim</t>
        </is>
      </c>
    </row>
    <row r="122">
      <c r="A122" s="9" t="inlineStr">
        <is>
          <t>MAR-PRAT</t>
        </is>
      </c>
      <c r="B122" s="10" t="inlineStr">
        <is>
          <t>marcenaria</t>
        </is>
      </c>
      <c r="C122" s="11" t="inlineStr">
        <is>
          <t>Prateleira e nicho</t>
        </is>
      </c>
      <c r="D122" s="10" t="inlineStr">
        <is>
          <t>m</t>
        </is>
      </c>
      <c r="E122" s="14" t="n">
        <v>8.199999999999999</v>
      </c>
      <c r="F122" s="11" t="inlineStr">
        <is>
          <t>marcenaria sob medida conforme planta de layout; MDF 18 mm com acabamento em laminado ou pintura PU; ferragem com amortecedor</t>
        </is>
      </c>
      <c r="G122" s="11" t="inlineStr"/>
      <c r="H122" s="11" t="inlineStr">
        <is>
          <t>desenho executivo de marcenaria: a planta da a extensao e a profundidade, nao o interior do movel</t>
        </is>
      </c>
      <c r="I122" s="18" t="inlineStr">
        <is>
          <t>sim</t>
        </is>
      </c>
    </row>
    <row r="123">
      <c r="A123" s="9" t="inlineStr">
        <is>
          <t>LOU-LAV</t>
        </is>
      </c>
      <c r="B123" s="10" t="inlineStr">
        <is>
          <t>loucas</t>
        </is>
      </c>
      <c r="C123" s="11" t="inlineStr">
        <is>
          <t>Lavatorio / cuba de banheiro</t>
        </is>
      </c>
      <c r="D123" s="10" t="inlineStr">
        <is>
          <t>un</t>
        </is>
      </c>
      <c r="E123" s="14" t="n">
        <v>5</v>
      </c>
      <c r="F123" s="11" t="inlineStr">
        <is>
          <t>louca / metal sanitario de linha comercial, cor branca para louca e acabamento cromado para metal; quantidade contada das pecas LOCADAS em planta, nao estimada por comodo</t>
        </is>
      </c>
      <c r="G123" s="11" t="inlineStr">
        <is>
          <t>NBR 15097, NBR 15705</t>
        </is>
      </c>
      <c r="H123" s="11" t="inlineStr">
        <is>
          <t>linha e fabricante: louca e metal sao decisao de acabamento do proprietario, e a mesma peca varia 3x de preco entre linhas</t>
        </is>
      </c>
      <c r="I123" s="18" t="inlineStr">
        <is>
          <t>sim</t>
        </is>
      </c>
    </row>
    <row r="124">
      <c r="A124" s="9" t="inlineStr">
        <is>
          <t>PIN-SELADOR</t>
        </is>
      </c>
      <c r="B124" s="10" t="inlineStr">
        <is>
          <t>pintura</t>
        </is>
      </c>
      <c r="C124" s="11" t="inlineStr">
        <is>
          <t>Selador acrilico</t>
        </is>
      </c>
      <c r="D124" s="10" t="inlineStr">
        <is>
          <t>L</t>
        </is>
      </c>
      <c r="E124" s="14" t="n">
        <v>74.8</v>
      </c>
      <c r="F124" s="11" t="inlineStr">
        <is>
          <t>tinta e mao de obra conforme especificacao de acabamento; 2 demaos sobre selador; rendimento declarado na quantidade</t>
        </is>
      </c>
      <c r="G124" s="11" t="inlineStr">
        <is>
          <t>NBR 11702, NBR 13245</t>
        </is>
      </c>
      <c r="H124" s="11" t="inlineStr"/>
      <c r="I124" s="18" t="inlineStr">
        <is>
          <t>sim</t>
        </is>
      </c>
    </row>
    <row r="125">
      <c r="A125" s="9" t="inlineStr">
        <is>
          <t>LOU-CUBA</t>
        </is>
      </c>
      <c r="B125" s="10" t="inlineStr">
        <is>
          <t>loucas</t>
        </is>
      </c>
      <c r="C125" s="11" t="inlineStr">
        <is>
          <t>Cuba de cozinha / gourmet / lavanderia em inox</t>
        </is>
      </c>
      <c r="D125" s="10" t="inlineStr">
        <is>
          <t>un</t>
        </is>
      </c>
      <c r="E125" s="14" t="n">
        <v>3</v>
      </c>
      <c r="F125" s="11" t="inlineStr">
        <is>
          <t>louca / metal sanitario de linha comercial, cor branca para louca e acabamento cromado para metal; quantidade contada das pecas LOCADAS em planta, nao estimada por comodo</t>
        </is>
      </c>
      <c r="G125" s="11" t="inlineStr">
        <is>
          <t>NBR 15097, NBR 15705</t>
        </is>
      </c>
      <c r="H125" s="11" t="inlineStr">
        <is>
          <t>linha e fabricante: louca e metal sao decisao de acabamento do proprietario, e a mesma peca varia 3x de preco entre linhas</t>
        </is>
      </c>
      <c r="I125" s="18" t="inlineStr">
        <is>
          <t>sim</t>
        </is>
      </c>
    </row>
    <row r="126">
      <c r="A126" s="9" t="inlineStr">
        <is>
          <t>MET-ACESS</t>
        </is>
      </c>
      <c r="B126" s="10" t="inlineStr">
        <is>
          <t>loucas</t>
        </is>
      </c>
      <c r="C126" s="11" t="inlineStr">
        <is>
          <t>Acessorios (papeleira, cabide, saboneteira, toalheiro)</t>
        </is>
      </c>
      <c r="D126" s="10" t="inlineStr">
        <is>
          <t>un</t>
        </is>
      </c>
      <c r="E126" s="14" t="n">
        <v>24</v>
      </c>
      <c r="F126" s="11" t="inlineStr">
        <is>
          <t>louca / metal sanitario de linha comercial, cor branca para louca e acabamento cromado para metal; quantidade contada das pecas LOCADAS em planta, nao estimada por comodo</t>
        </is>
      </c>
      <c r="G126" s="11" t="inlineStr">
        <is>
          <t>NBR 15097, NBR 15705</t>
        </is>
      </c>
      <c r="H126" s="11" t="inlineStr">
        <is>
          <t>linha e fabricante: louca e metal sao decisao de acabamento do proprietario, e a mesma peca varia 3x de preco entre linhas</t>
        </is>
      </c>
      <c r="I126" s="18" t="inlineStr">
        <is>
          <t>sim</t>
        </is>
      </c>
    </row>
    <row r="127">
      <c r="A127" s="9" t="inlineStr">
        <is>
          <t>ELE-TUG</t>
        </is>
      </c>
      <c r="B127" s="10" t="inlineStr">
        <is>
          <t>eletrica</t>
        </is>
      </c>
      <c r="C127" s="11" t="inlineStr">
        <is>
          <t>Tomada 2P+T 10 A com placa</t>
        </is>
      </c>
      <c r="D127" s="10" t="inlineStr">
        <is>
          <t>un</t>
        </is>
      </c>
      <c r="E127" s="14" t="n">
        <v>71</v>
      </c>
      <c r="F127" s="11" t="inlineStr">
        <is>
          <t>dispositivo de embutir em caixa 4x2 / 4x4, linha unica em toda a casa; tensao 127 V para TUG e 220 V para TUE, conforme esquema declarado no projeto</t>
        </is>
      </c>
      <c r="G127" s="11" t="inlineStr">
        <is>
          <t>NBR 14136, NBR 5410</t>
        </is>
      </c>
      <c r="H127" s="11" t="inlineStr"/>
      <c r="I127" s="18" t="inlineStr">
        <is>
          <t>sim</t>
        </is>
      </c>
    </row>
    <row r="128">
      <c r="A128" s="9" t="inlineStr">
        <is>
          <t>EQP-EXAUST</t>
        </is>
      </c>
      <c r="B128" s="10" t="inlineStr">
        <is>
          <t>equipamentos</t>
        </is>
      </c>
      <c r="C128" s="11" t="inlineStr">
        <is>
          <t>Exaustor / coifa</t>
        </is>
      </c>
      <c r="D128" s="10" t="inlineStr">
        <is>
          <t>un</t>
        </is>
      </c>
      <c r="E128" s="14" t="n">
        <v>7</v>
      </c>
      <c r="F128" s="11" t="inlineStr">
        <is>
          <t>equipamento novo, com garantia de fabrica e instalacao por credenciado</t>
        </is>
      </c>
      <c r="G128" s="11" t="inlineStr"/>
      <c r="H128" s="11" t="inlineStr">
        <is>
          <t>marca e modelo: a capacidade esta dimensionada, a escolha do equipamento e do proprietario</t>
        </is>
      </c>
      <c r="I128" s="18" t="inlineStr">
        <is>
          <t>sim</t>
        </is>
      </c>
    </row>
    <row r="129">
      <c r="A129" s="9" t="inlineStr">
        <is>
          <t>FV-HOMOLOG</t>
        </is>
      </c>
      <c r="B129" s="10" t="inlineStr">
        <is>
          <t>eletrica</t>
        </is>
      </c>
      <c r="C129" s="11" t="inlineStr">
        <is>
          <t>Projeto e homologacao na concessionaria (REN 1.000)</t>
        </is>
      </c>
      <c r="D129" s="10" t="inlineStr">
        <is>
          <t>un</t>
        </is>
      </c>
      <c r="E129" s="14" t="n">
        <v>1</v>
      </c>
      <c r="F129" s="11" t="inlineStr">
        <is>
          <t>sistema fotovoltaico conectado a rede (on-grid), microgeracao REN ANEEL 1.000/2021; modulos monocristalinos, inversor string trifasico com monitoramento</t>
        </is>
      </c>
      <c r="G129" s="11" t="inlineStr">
        <is>
          <t>NBR 16274, NBR 16690, Portaria INMETRO 140/2022</t>
        </is>
      </c>
      <c r="H129" s="11" t="inlineStr">
        <is>
          <t>marca e modelo de modulo e inversor; a potencia e a area estao dimensionadas, o produto e cotacao</t>
        </is>
      </c>
      <c r="I129" s="18" t="inlineStr">
        <is>
          <t>sim</t>
        </is>
      </c>
    </row>
    <row r="130">
      <c r="A130" s="9" t="inlineStr">
        <is>
          <t>LUM-SOBREPOR24</t>
        </is>
      </c>
      <c r="B130" s="10" t="inlineStr">
        <is>
          <t>eletrica</t>
        </is>
      </c>
      <c r="C130" s="11" t="inlineStr">
        <is>
          <t>Plafon LED de sobrepor 24 W</t>
        </is>
      </c>
      <c r="D130" s="10" t="inlineStr">
        <is>
          <t>un</t>
        </is>
      </c>
      <c r="E130" s="14" t="n">
        <v>10</v>
      </c>
      <c r="F13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0" s="11" t="inlineStr">
        <is>
          <t>NBR ISO/CIE 8995-1, Portaria INMETRO 20/2017 (LED)</t>
        </is>
      </c>
      <c r="H130" s="11" t="inlineStr">
        <is>
          <t>marca e modelo: o fluxo e a potencia de cada tipo estao declarados; o produto e escolha de acabamento</t>
        </is>
      </c>
      <c r="I130" s="18" t="inlineStr">
        <is>
          <t>sim</t>
        </is>
      </c>
    </row>
    <row r="131">
      <c r="A131" s="9" t="inlineStr">
        <is>
          <t>MET-CHUV</t>
        </is>
      </c>
      <c r="B131" s="10" t="inlineStr">
        <is>
          <t>loucas</t>
        </is>
      </c>
      <c r="C131" s="11" t="inlineStr">
        <is>
          <t>Chuveiro eletrico 220 V</t>
        </is>
      </c>
      <c r="D131" s="10" t="inlineStr">
        <is>
          <t>un</t>
        </is>
      </c>
      <c r="E131" s="14" t="n">
        <v>4</v>
      </c>
      <c r="F131" s="11" t="inlineStr">
        <is>
          <t>louca / metal sanitario de linha comercial, cor branca para louca e acabamento cromado para metal; quantidade contada das pecas LOCADAS em planta, nao estimada por comodo</t>
        </is>
      </c>
      <c r="G131" s="11" t="inlineStr">
        <is>
          <t>NBR 15097, NBR 15705</t>
        </is>
      </c>
      <c r="H131" s="11" t="inlineStr">
        <is>
          <t>linha e fabricante: louca e metal sao decisao de acabamento do proprietario, e a mesma peca varia 3x de preco entre linhas</t>
        </is>
      </c>
      <c r="I131" s="18" t="inlineStr">
        <is>
          <t>sim</t>
        </is>
      </c>
    </row>
    <row r="132">
      <c r="A132" s="9" t="inlineStr">
        <is>
          <t>MET-REG</t>
        </is>
      </c>
      <c r="B132" s="10" t="inlineStr">
        <is>
          <t>loucas</t>
        </is>
      </c>
      <c r="C132" s="11" t="inlineStr">
        <is>
          <t>Registro de gaveta e de pressao</t>
        </is>
      </c>
      <c r="D132" s="10" t="inlineStr">
        <is>
          <t>un</t>
        </is>
      </c>
      <c r="E132" s="14" t="n">
        <v>12</v>
      </c>
      <c r="F132" s="11" t="inlineStr">
        <is>
          <t>louca / metal sanitario de linha comercial, cor branca para louca e acabamento cromado para metal; quantidade contada das pecas LOCADAS em planta, nao estimada por comodo</t>
        </is>
      </c>
      <c r="G132" s="11" t="inlineStr">
        <is>
          <t>NBR 15097, NBR 15705</t>
        </is>
      </c>
      <c r="H132" s="11" t="inlineStr">
        <is>
          <t>linha e fabricante: louca e metal sao decisao de acabamento do proprietario, e a mesma peca varia 3x de preco entre linhas</t>
        </is>
      </c>
      <c r="I132" s="18" t="inlineStr">
        <is>
          <t>sim</t>
        </is>
      </c>
    </row>
    <row r="133">
      <c r="A133" s="9" t="inlineStr">
        <is>
          <t>ELE-DR</t>
        </is>
      </c>
      <c r="B133" s="10" t="inlineStr">
        <is>
          <t>eletrica</t>
        </is>
      </c>
      <c r="C133" s="11" t="inlineStr">
        <is>
          <t>Disjuntor diferencial residual 30 mA</t>
        </is>
      </c>
      <c r="D133" s="10" t="inlineStr">
        <is>
          <t>un</t>
        </is>
      </c>
      <c r="E133" s="14" t="n">
        <v>6</v>
      </c>
      <c r="F133" s="11" t="inlineStr">
        <is>
          <t>dispositivo de embutir em caixa 4x2 / 4x4, linha unica em toda a casa; tensao 127 V para TUG e 220 V para TUE, conforme esquema declarado no projeto</t>
        </is>
      </c>
      <c r="G133" s="11" t="inlineStr">
        <is>
          <t>NBR 14136, NBR 5410</t>
        </is>
      </c>
      <c r="H133" s="11" t="inlineStr"/>
      <c r="I133" s="18" t="inlineStr">
        <is>
          <t>sim</t>
        </is>
      </c>
    </row>
    <row r="134">
      <c r="A134" s="9" t="inlineStr">
        <is>
          <t>MET-DUCHA</t>
        </is>
      </c>
      <c r="B134" s="10" t="inlineStr">
        <is>
          <t>loucas</t>
        </is>
      </c>
      <c r="C134" s="11" t="inlineStr">
        <is>
          <t>Ducha higienica com registro</t>
        </is>
      </c>
      <c r="D134" s="10" t="inlineStr">
        <is>
          <t>un</t>
        </is>
      </c>
      <c r="E134" s="14" t="n">
        <v>5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SPD-DESCIDA</t>
        </is>
      </c>
      <c r="B135" s="10" t="inlineStr">
        <is>
          <t>eletrica</t>
        </is>
      </c>
      <c r="C135" s="11" t="inlineStr">
        <is>
          <t>Descida natural pela estrutura LSF: conector de teste e ligacao</t>
        </is>
      </c>
      <c r="D135" s="10" t="inlineStr">
        <is>
          <t>un</t>
        </is>
      </c>
      <c r="E135" s="14" t="n">
        <v>4</v>
      </c>
      <c r="F135" s="11" t="inlineStr">
        <is>
          <t>SPDA conforme NBR 5419-3, classe IV: captor em anel no perimetro da cobertura, descidas naturais pela estrutura de aco com continuidade ensaiada, anel de aterramento no radier</t>
        </is>
      </c>
      <c r="G135" s="11" t="inlineStr">
        <is>
          <t>NBR 5410, NBR 5419-3, NBR 5419-4</t>
        </is>
      </c>
      <c r="H135" s="11" t="inlineStr">
        <is>
          <t>laudo de continuidade eletrica da estrutura e medicao de resistencia de aterramento apos a execucao</t>
        </is>
      </c>
      <c r="I135" s="18" t="inlineStr">
        <is>
          <t>sim</t>
        </is>
      </c>
    </row>
    <row r="136">
      <c r="A136" s="9" t="inlineStr">
        <is>
          <t>LUM-ARANDELA</t>
        </is>
      </c>
      <c r="B136" s="10" t="inlineStr">
        <is>
          <t>eletrica</t>
        </is>
      </c>
      <c r="C136" s="11" t="inlineStr">
        <is>
          <t>Arandela LED IP44 de espelho, 8 W</t>
        </is>
      </c>
      <c r="D136" s="10" t="inlineStr">
        <is>
          <t>un</t>
        </is>
      </c>
      <c r="E136" s="14" t="n">
        <v>6</v>
      </c>
      <c r="F13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6" s="11" t="inlineStr">
        <is>
          <t>NBR ISO/CIE 8995-1, Portaria INMETRO 20/2017 (LED)</t>
        </is>
      </c>
      <c r="H136" s="11" t="inlineStr">
        <is>
          <t>marca e modelo: o fluxo e a potencia de cada tipo estao declarados; o produto e escolha de acabamento</t>
        </is>
      </c>
      <c r="I136" s="18" t="inlineStr">
        <is>
          <t>sim</t>
        </is>
      </c>
    </row>
    <row r="137">
      <c r="A137" s="9" t="inlineStr">
        <is>
          <t>SPD-DPS1</t>
        </is>
      </c>
      <c r="B137" s="10" t="inlineStr">
        <is>
          <t>eletrica</t>
        </is>
      </c>
      <c r="C137" s="11" t="inlineStr">
        <is>
          <t>DPS classe I, 12,5 kA, 3F+N, na entrada</t>
        </is>
      </c>
      <c r="D137" s="10" t="inlineStr">
        <is>
          <t>un</t>
        </is>
      </c>
      <c r="E137" s="14" t="n">
        <v>1</v>
      </c>
      <c r="F137" s="11" t="inlineStr">
        <is>
          <t>SPDA conforme NBR 5419-3, classe IV: captor em anel no perimetro da cobertura, descidas naturais pela estrutura de aco com continuidade ensaiada, anel de aterramento no radier</t>
        </is>
      </c>
      <c r="G137" s="11" t="inlineStr">
        <is>
          <t>NBR 5410, NBR 5419-3, NBR 5419-4</t>
        </is>
      </c>
      <c r="H137" s="11" t="inlineStr">
        <is>
          <t>laudo de continuidade eletrica da estrutura e medicao de resistencia de aterramento apos a execucao</t>
        </is>
      </c>
      <c r="I137" s="18" t="inlineStr">
        <is>
          <t>sim</t>
        </is>
      </c>
    </row>
    <row r="138">
      <c r="A138" s="9" t="inlineStr">
        <is>
          <t>LUM-PENDENTE40</t>
        </is>
      </c>
      <c r="B138" s="10" t="inlineStr">
        <is>
          <t>eletrica</t>
        </is>
      </c>
      <c r="C138" s="11" t="inlineStr">
        <is>
          <t>Pendente LED de pe-direito duplo, 40 W</t>
        </is>
      </c>
      <c r="D138" s="10" t="inlineStr">
        <is>
          <t>un</t>
        </is>
      </c>
      <c r="E138" s="14" t="n">
        <v>2</v>
      </c>
      <c r="F13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8" s="11" t="inlineStr">
        <is>
          <t>NBR ISO/CIE 8995-1, Portaria INMETRO 20/2017 (LED)</t>
        </is>
      </c>
      <c r="H138" s="11" t="inlineStr">
        <is>
          <t>marca e modelo: o fluxo e a potencia de cada tipo estao declarados; o produto e escolha de acabamento</t>
        </is>
      </c>
      <c r="I138" s="18" t="inlineStr">
        <is>
          <t>sim</t>
        </is>
      </c>
    </row>
    <row r="139">
      <c r="A139" s="9" t="inlineStr">
        <is>
          <t>ELE-INT</t>
        </is>
      </c>
      <c r="B139" s="10" t="inlineStr">
        <is>
          <t>eletrica</t>
        </is>
      </c>
      <c r="C139" s="11" t="inlineStr">
        <is>
          <t>Interruptor simples e paralelo com placa</t>
        </is>
      </c>
      <c r="D139" s="10" t="inlineStr">
        <is>
          <t>un</t>
        </is>
      </c>
      <c r="E139" s="14" t="n">
        <v>25</v>
      </c>
      <c r="F139" s="11" t="inlineStr">
        <is>
          <t>dispositivo de embutir em caixa 4x2 / 4x4, linha unica em toda a casa; tensao 127 V para TUG e 220 V para TUE, conforme esquema declarado no projeto</t>
        </is>
      </c>
      <c r="G139" s="11" t="inlineStr">
        <is>
          <t>NBR 14136, NBR 5410</t>
        </is>
      </c>
      <c r="H139" s="11" t="inlineStr"/>
      <c r="I139" s="18" t="inlineStr">
        <is>
          <t>sim</t>
        </is>
      </c>
    </row>
    <row r="140">
      <c r="A140" s="9" t="inlineStr">
        <is>
          <t>LOU-ASSENTO</t>
        </is>
      </c>
      <c r="B140" s="10" t="inlineStr">
        <is>
          <t>loucas</t>
        </is>
      </c>
      <c r="C140" s="11" t="inlineStr">
        <is>
          <t>Assento sanitario com amortecedor</t>
        </is>
      </c>
      <c r="D140" s="10" t="inlineStr">
        <is>
          <t>un</t>
        </is>
      </c>
      <c r="E140" s="14" t="n">
        <v>5</v>
      </c>
      <c r="F140" s="11" t="inlineStr">
        <is>
          <t>louca / metal sanitario de linha comercial, cor branca para louca e acabamento cromado para metal; quantidade contada das pecas LOCADAS em planta, nao estimada por comodo</t>
        </is>
      </c>
      <c r="G140" s="11" t="inlineStr">
        <is>
          <t>NBR 15097, NBR 15705</t>
        </is>
      </c>
      <c r="H140" s="11" t="inlineStr">
        <is>
          <t>linha e fabricante: louca e metal sao decisao de acabamento do proprietario, e a mesma peca varia 3x de preco entre linhas</t>
        </is>
      </c>
      <c r="I140" s="18" t="inlineStr">
        <is>
          <t>sim</t>
        </is>
      </c>
    </row>
    <row r="141">
      <c r="A141" s="9" t="inlineStr">
        <is>
          <t>FV-STRINGBOX</t>
        </is>
      </c>
      <c r="B141" s="10" t="inlineStr">
        <is>
          <t>eletrica</t>
        </is>
      </c>
      <c r="C141" s="11" t="inlineStr">
        <is>
          <t>String box CC com DPS e seccionadora</t>
        </is>
      </c>
      <c r="D141" s="10" t="inlineStr">
        <is>
          <t>un</t>
        </is>
      </c>
      <c r="E141" s="14" t="n">
        <v>1</v>
      </c>
      <c r="F141" s="11" t="inlineStr">
        <is>
          <t>sistema fotovoltaico conectado a rede (on-grid), microgeracao REN ANEEL 1.000/2021; modulos monocristalinos, inversor string trifasico com monitoramento</t>
        </is>
      </c>
      <c r="G141" s="11" t="inlineStr">
        <is>
          <t>NBR 16274, NBR 16690, Portaria INMETRO 140/2022</t>
        </is>
      </c>
      <c r="H141" s="11" t="inlineStr">
        <is>
          <t>marca e modelo de modulo e inversor; a potencia e a area estao dimensionadas, o produto e cotacao</t>
        </is>
      </c>
      <c r="I141" s="18" t="inlineStr">
        <is>
          <t>sim</t>
        </is>
      </c>
    </row>
    <row r="142">
      <c r="A142" s="9" t="inlineStr">
        <is>
          <t>ELE-TUE</t>
        </is>
      </c>
      <c r="B142" s="10" t="inlineStr">
        <is>
          <t>eletrica</t>
        </is>
      </c>
      <c r="C142" s="11" t="inlineStr">
        <is>
          <t>Tomada de uso especifico 20 A com placa</t>
        </is>
      </c>
      <c r="D142" s="10" t="inlineStr">
        <is>
          <t>un</t>
        </is>
      </c>
      <c r="E142" s="14" t="n">
        <v>24</v>
      </c>
      <c r="F142" s="11" t="inlineStr">
        <is>
          <t>dispositivo de embutir em caixa 4x2 / 4x4, linha unica em toda a casa; tensao 127 V para TUG e 220 V para TUE, conforme esquema declarado no projeto</t>
        </is>
      </c>
      <c r="G142" s="11" t="inlineStr">
        <is>
          <t>NBR 14136, NBR 5410</t>
        </is>
      </c>
      <c r="H142" s="11" t="inlineStr"/>
      <c r="I142" s="18" t="inlineStr">
        <is>
          <t>sim</t>
        </is>
      </c>
    </row>
    <row r="143">
      <c r="A143" s="9" t="inlineStr">
        <is>
          <t>SPD-ENSAIO</t>
        </is>
      </c>
      <c r="B143" s="10" t="inlineStr">
        <is>
          <t>eletrica</t>
        </is>
      </c>
      <c r="C143" s="11" t="inlineStr">
        <is>
          <t>Ensaio de continuidade e resistencia de aterramento</t>
        </is>
      </c>
      <c r="D143" s="10" t="inlineStr">
        <is>
          <t>un</t>
        </is>
      </c>
      <c r="E143" s="14" t="n">
        <v>1</v>
      </c>
      <c r="F143" s="11" t="inlineStr">
        <is>
          <t>SPDA conforme NBR 5419-3, classe IV: captor em anel no perimetro da cobertura, descidas naturais pela estrutura de aco com continuidade ensaiada, anel de aterramento no radier</t>
        </is>
      </c>
      <c r="G143" s="11" t="inlineStr">
        <is>
          <t>NBR 5410, NBR 5419-3, NBR 5419-4</t>
        </is>
      </c>
      <c r="H143" s="11" t="inlineStr">
        <is>
          <t>laudo de continuidade eletrica da estrutura e medicao de resistencia de aterramento apos a execucao</t>
        </is>
      </c>
      <c r="I143" s="18" t="inlineStr">
        <is>
          <t>sim</t>
        </is>
      </c>
    </row>
    <row r="144">
      <c r="A144" s="9" t="inlineStr">
        <is>
          <t>FV-CABO</t>
        </is>
      </c>
      <c r="B144" s="10" t="inlineStr">
        <is>
          <t>eletrica</t>
        </is>
      </c>
      <c r="C144" s="11" t="inlineStr">
        <is>
          <t>Cabo solar 6 mm2 e eletroduto ate o inversor</t>
        </is>
      </c>
      <c r="D144" s="10" t="inlineStr">
        <is>
          <t>m</t>
        </is>
      </c>
      <c r="E144" s="14" t="n">
        <v>46.3</v>
      </c>
      <c r="F144" s="11" t="inlineStr">
        <is>
          <t>sistema fotovoltaico conectado a rede (on-grid), microgeracao REN ANEEL 1.000/2021; modulos monocristalinos, inversor string trifasico com monitoramento</t>
        </is>
      </c>
      <c r="G144" s="11" t="inlineStr">
        <is>
          <t>NBR 16274, NBR 16690, Portaria INMETRO 140/2022</t>
        </is>
      </c>
      <c r="H144" s="11" t="inlineStr">
        <is>
          <t>marca e modelo de modulo e inversor; a potencia e a area estao dimensionadas, o produto e cotacao</t>
        </is>
      </c>
      <c r="I144" s="18" t="inlineStr">
        <is>
          <t>sim</t>
        </is>
      </c>
    </row>
    <row r="145">
      <c r="A145" s="9" t="inlineStr">
        <is>
          <t>LUM-BALIZADOR</t>
        </is>
      </c>
      <c r="B145" s="10" t="inlineStr">
        <is>
          <t>eletrica</t>
        </is>
      </c>
      <c r="C145" s="11" t="inlineStr">
        <is>
          <t>Balizador LED de escada, 3 W</t>
        </is>
      </c>
      <c r="D145" s="10" t="inlineStr">
        <is>
          <t>un</t>
        </is>
      </c>
      <c r="E145" s="14" t="n">
        <v>6</v>
      </c>
      <c r="F14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5" s="11" t="inlineStr">
        <is>
          <t>NBR ISO/CIE 8995-1, Portaria INMETRO 20/2017 (LED)</t>
        </is>
      </c>
      <c r="H145" s="11" t="inlineStr">
        <is>
          <t>marca e modelo: o fluxo e a potencia de cada tipo estao declarados; o produto e escolha de acabamento</t>
        </is>
      </c>
      <c r="I145" s="18" t="inlineStr">
        <is>
          <t>sim</t>
        </is>
      </c>
    </row>
    <row r="146">
      <c r="A146" s="9" t="inlineStr">
        <is>
          <t>MET-ENGATE</t>
        </is>
      </c>
      <c r="B146" s="10" t="inlineStr">
        <is>
          <t>loucas</t>
        </is>
      </c>
      <c r="C146" s="11" t="inlineStr">
        <is>
          <t>Engate flexivel</t>
        </is>
      </c>
      <c r="D146" s="10" t="inlineStr">
        <is>
          <t>un</t>
        </is>
      </c>
      <c r="E146" s="14" t="n">
        <v>23</v>
      </c>
      <c r="F146" s="11" t="inlineStr">
        <is>
          <t>louca / metal sanitario de linha comercial, cor branca para louca e acabamento cromado para metal; quantidade contada das pecas LOCADAS em planta, nao estimada por comodo</t>
        </is>
      </c>
      <c r="G146" s="11" t="inlineStr">
        <is>
          <t>NBR 15097, NBR 15705</t>
        </is>
      </c>
      <c r="H146" s="11" t="inlineStr">
        <is>
          <t>linha e fabricante: louca e metal sao decisao de acabamento do proprietario, e a mesma peca varia 3x de preco entre linhas</t>
        </is>
      </c>
      <c r="I146" s="18" t="inlineStr">
        <is>
          <t>sim</t>
        </is>
      </c>
    </row>
    <row r="147">
      <c r="A147" s="9" t="inlineStr">
        <is>
          <t>MET-TORN-T</t>
        </is>
      </c>
      <c r="B147" s="10" t="inlineStr">
        <is>
          <t>loucas</t>
        </is>
      </c>
      <c r="C147" s="11" t="inlineStr">
        <is>
          <t>Torneira de tanque e de jardim</t>
        </is>
      </c>
      <c r="D147" s="10" t="inlineStr">
        <is>
          <t>un</t>
        </is>
      </c>
      <c r="E147" s="14" t="n">
        <v>3</v>
      </c>
      <c r="F147" s="11" t="inlineStr">
        <is>
          <t>louca / metal sanitario de linha comercial, cor branca para louca e acabamento cromado para metal; quantidade contada das pecas LOCADAS em planta, nao estimada por comodo</t>
        </is>
      </c>
      <c r="G147" s="11" t="inlineStr">
        <is>
          <t>NBR 15097, NBR 15705</t>
        </is>
      </c>
      <c r="H147" s="11" t="inlineStr">
        <is>
          <t>linha e fabricante: louca e metal sao decisao de acabamento do proprietario, e a mesma peca varia 3x de preco entre linhas</t>
        </is>
      </c>
      <c r="I147" s="18" t="inlineStr">
        <is>
          <t>sim</t>
        </is>
      </c>
    </row>
    <row r="148">
      <c r="A148" s="9" t="inlineStr">
        <is>
          <t>SPD-BEP</t>
        </is>
      </c>
      <c r="B148" s="10" t="inlineStr">
        <is>
          <t>eletrica</t>
        </is>
      </c>
      <c r="C148" s="11" t="inlineStr">
        <is>
          <t>Barramento de equipotencializacao principal</t>
        </is>
      </c>
      <c r="D148" s="10" t="inlineStr">
        <is>
          <t>un</t>
        </is>
      </c>
      <c r="E148" s="14" t="n">
        <v>1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MET-VALV</t>
        </is>
      </c>
      <c r="B149" s="10" t="inlineStr">
        <is>
          <t>loucas</t>
        </is>
      </c>
      <c r="C149" s="11" t="inlineStr">
        <is>
          <t>Valvula de escoamento e de lavatorio</t>
        </is>
      </c>
      <c r="D149" s="10" t="inlineStr">
        <is>
          <t>un</t>
        </is>
      </c>
      <c r="E149" s="14" t="n">
        <v>9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SPD-HASTE</t>
        </is>
      </c>
      <c r="B150" s="10" t="inlineStr">
        <is>
          <t>eletrica</t>
        </is>
      </c>
      <c r="C150" s="11" t="inlineStr">
        <is>
          <t>Haste de aterramento 5/8 x 2.400 mm</t>
        </is>
      </c>
      <c r="D150" s="10" t="inlineStr">
        <is>
          <t>un</t>
        </is>
      </c>
      <c r="E150" s="14" t="n">
        <v>4</v>
      </c>
      <c r="F150" s="11" t="inlineStr">
        <is>
          <t>SPDA conforme NBR 5419-3, classe IV: captor em anel no perimetro da cobertura, descidas naturais pela estrutura de aco com continuidade ensaiada, anel de aterramento no radier</t>
        </is>
      </c>
      <c r="G150" s="11" t="inlineStr">
        <is>
          <t>NBR 5410, NBR 5419-3, NBR 5419-4</t>
        </is>
      </c>
      <c r="H150" s="11" t="inlineStr">
        <is>
          <t>laudo de continuidade eletrica da estrutura e medicao de resistencia de aterramento apos a execucao</t>
        </is>
      </c>
      <c r="I150" s="18" t="inlineStr">
        <is>
          <t>sim</t>
        </is>
      </c>
    </row>
    <row r="151">
      <c r="A151" s="9" t="inlineStr">
        <is>
          <t>MET-SIFAO</t>
        </is>
      </c>
      <c r="B151" s="10" t="inlineStr">
        <is>
          <t>loucas</t>
        </is>
      </c>
      <c r="C151" s="11" t="inlineStr">
        <is>
          <t>Sifao flexivel</t>
        </is>
      </c>
      <c r="D151" s="10" t="inlineStr">
        <is>
          <t>un</t>
        </is>
      </c>
      <c r="E151" s="14" t="n">
        <v>9</v>
      </c>
      <c r="F151" s="11" t="inlineStr">
        <is>
          <t>louca / metal sanitario de linha comercial, cor branca para louca e acabamento cromado para metal; quantidade contada das pecas LOCADAS em planta, nao estimada por comodo</t>
        </is>
      </c>
      <c r="G151" s="11" t="inlineStr">
        <is>
          <t>NBR 15097, NBR 15705</t>
        </is>
      </c>
      <c r="H151" s="11" t="inlineStr">
        <is>
          <t>linha e fabricante: louca e metal sao decisao de acabamento do proprietario, e a mesma peca varia 3x de preco entre linhas</t>
        </is>
      </c>
      <c r="I151" s="18" t="inlineStr">
        <is>
          <t>sim</t>
        </is>
      </c>
    </row>
    <row r="152">
      <c r="A152" s="9" t="inlineStr">
        <is>
          <t>LOU-TANQUE</t>
        </is>
      </c>
      <c r="B152" s="10" t="inlineStr">
        <is>
          <t>loucas</t>
        </is>
      </c>
      <c r="C152" s="11" t="inlineStr">
        <is>
          <t>Tanque de lavanderia</t>
        </is>
      </c>
      <c r="D152" s="10" t="inlineStr">
        <is>
          <t>un</t>
        </is>
      </c>
      <c r="E152" s="14" t="n">
        <v>1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ELE-DPS</t>
        </is>
      </c>
      <c r="B153" s="10" t="inlineStr">
        <is>
          <t>eletrica</t>
        </is>
      </c>
      <c r="C153" s="11" t="inlineStr">
        <is>
          <t>Dispositivo de protecao contra surtos</t>
        </is>
      </c>
      <c r="D153" s="10" t="inlineStr">
        <is>
          <t>un</t>
        </is>
      </c>
      <c r="E153" s="14" t="n">
        <v>2</v>
      </c>
      <c r="F153" s="11" t="inlineStr">
        <is>
          <t>dispositivo de embutir em caixa 4x2 / 4x4, linha unica em toda a casa; tensao 127 V para TUG e 220 V para TUE, conforme esquema declarado no projeto</t>
        </is>
      </c>
      <c r="G153" s="11" t="inlineStr">
        <is>
          <t>NBR 14136, NBR 5410</t>
        </is>
      </c>
      <c r="H153" s="11" t="inlineStr"/>
      <c r="I153" s="18" t="inlineStr">
        <is>
          <t>sim</t>
        </is>
      </c>
    </row>
    <row r="155">
      <c r="A155" s="3" t="inlineStr">
        <is>
          <t>ROTA ALTERNATIVA — peça cortada e furada em vez de barra</t>
        </is>
      </c>
    </row>
    <row r="156">
      <c r="A156" s="2" t="inlineStr">
        <is>
          <t>Estes itens NÃO entram no total: são a mesma estrutura comprada pronta. Cotar os dois e comparar contra o custo de corte próprio.</t>
        </is>
      </c>
    </row>
    <row r="157">
      <c r="A157" s="26" t="inlineStr">
        <is>
          <t>ITEM</t>
        </is>
      </c>
      <c r="B157" s="26" t="inlineStr">
        <is>
          <t>DESCRIÇÃO</t>
        </is>
      </c>
      <c r="C157" s="26" t="inlineStr">
        <is>
          <t>UN</t>
        </is>
      </c>
      <c r="D157" s="26" t="inlineStr">
        <is>
          <t>QUANTIDADE</t>
        </is>
      </c>
      <c r="E157" s="26" t="inlineStr">
        <is>
          <t>ESPECIFICAÇÃO</t>
        </is>
      </c>
      <c r="F157" s="26" t="inlineStr">
        <is>
          <t>NORMAS</t>
        </is>
      </c>
    </row>
    <row r="158">
      <c r="A158" s="9" t="inlineStr">
        <is>
          <t>PF-Ue 90x40x12x0,95</t>
        </is>
      </c>
      <c r="B158" s="11" t="inlineStr">
        <is>
          <t>Ue 90x40x12x0,95</t>
        </is>
      </c>
      <c r="C158" s="10" t="inlineStr">
        <is>
          <t>pc</t>
        </is>
      </c>
      <c r="D158" s="14" t="n">
        <v>547</v>
      </c>
      <c r="E158" s="11" t="inlineStr">
        <is>
          <t>peca cortada e furada conforme Ue 90x40x12x0,95; rota ALTERNATIVA a barra: cotar peca pronta so faz sentido contra o custo de corte proprio</t>
        </is>
      </c>
      <c r="F158" s="10" t="inlineStr">
        <is>
          <t>NBR 15253</t>
        </is>
      </c>
    </row>
    <row r="159">
      <c r="A159" s="9" t="inlineStr">
        <is>
          <t>PF-Ue 250x40x15x3,00</t>
        </is>
      </c>
      <c r="B159" s="11" t="inlineStr">
        <is>
          <t>Ue 250x40x15x3,00</t>
        </is>
      </c>
      <c r="C159" s="10" t="inlineStr">
        <is>
          <t>pc</t>
        </is>
      </c>
      <c r="D159" s="14" t="n">
        <v>22</v>
      </c>
      <c r="E159" s="11" t="inlineStr">
        <is>
          <t>peca cortada e furada conforme Ue 250x40x15x3,00; rota ALTERNATIVA a barra: cotar peca pronta so faz sentido contra o custo de corte proprio</t>
        </is>
      </c>
      <c r="F159" s="10" t="inlineStr">
        <is>
          <t>NBR 15253</t>
        </is>
      </c>
    </row>
    <row r="160">
      <c r="A160" s="9" t="inlineStr">
        <is>
          <t>PF-U 92x38x0,95</t>
        </is>
      </c>
      <c r="B160" s="11" t="inlineStr">
        <is>
          <t>U 92x38x0,95</t>
        </is>
      </c>
      <c r="C160" s="10" t="inlineStr">
        <is>
          <t>pc</t>
        </is>
      </c>
      <c r="D160" s="14" t="n">
        <v>299</v>
      </c>
      <c r="E160" s="11" t="inlineStr">
        <is>
          <t>peca cortada e furada conforme U 92x38x0,95; rota ALTERNATIVA a barra: cotar peca pronta so faz sentido contra o custo de corte proprio</t>
        </is>
      </c>
      <c r="F160" s="10" t="inlineStr">
        <is>
          <t>NBR 15253</t>
        </is>
      </c>
    </row>
    <row r="161">
      <c r="A161" s="9" t="inlineStr">
        <is>
          <t>PF-Ue 250x40x12x2,25</t>
        </is>
      </c>
      <c r="B161" s="11" t="inlineStr">
        <is>
          <t>Ue 250x40x12x2,25</t>
        </is>
      </c>
      <c r="C161" s="10" t="inlineStr">
        <is>
          <t>pc</t>
        </is>
      </c>
      <c r="D161" s="14" t="n">
        <v>24</v>
      </c>
      <c r="E161" s="11" t="inlineStr">
        <is>
          <t>peca cortada e furada conforme Ue 250x40x12x2,25; rota ALTERNATIVA a barra: cotar peca pronta so faz sentido contra o custo de corte proprio</t>
        </is>
      </c>
      <c r="F161" s="10" t="inlineStr">
        <is>
          <t>NBR 15253</t>
        </is>
      </c>
    </row>
    <row r="162">
      <c r="A162" s="9" t="inlineStr">
        <is>
          <t>PF-Ue 200x40x12x1,25</t>
        </is>
      </c>
      <c r="B162" s="11" t="inlineStr">
        <is>
          <t>Ue 200x40x12x1,25</t>
        </is>
      </c>
      <c r="C162" s="10" t="inlineStr">
        <is>
          <t>pc</t>
        </is>
      </c>
      <c r="D162" s="14" t="n">
        <v>29</v>
      </c>
      <c r="E162" s="11" t="inlineStr">
        <is>
          <t>peca cortada e furada conforme Ue 200x40x12x1,25; rota ALTERNATIVA a barra: cotar peca pronta so faz sentido contra o custo de corte proprio</t>
        </is>
      </c>
      <c r="F162" s="10" t="inlineStr">
        <is>
          <t>NBR 15253</t>
        </is>
      </c>
    </row>
    <row r="163">
      <c r="A163" s="9" t="inlineStr">
        <is>
          <t>PF-Ue 200x40x12x0,95</t>
        </is>
      </c>
      <c r="B163" s="11" t="inlineStr">
        <is>
          <t>Ue 200x40x12x0,95</t>
        </is>
      </c>
      <c r="C163" s="10" t="inlineStr">
        <is>
          <t>pc</t>
        </is>
      </c>
      <c r="D163" s="14" t="n">
        <v>24</v>
      </c>
      <c r="E163" s="11" t="inlineStr">
        <is>
          <t>peca cortada e furada conforme Ue 200x40x12x0,95;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140x40x12x0,80</t>
        </is>
      </c>
      <c r="B164" s="11" t="inlineStr">
        <is>
          <t>Ue 140x40x12x0,80</t>
        </is>
      </c>
      <c r="C164" s="10" t="inlineStr">
        <is>
          <t>pc</t>
        </is>
      </c>
      <c r="D164" s="14" t="n">
        <v>53</v>
      </c>
      <c r="E164" s="11" t="inlineStr">
        <is>
          <t>peca cortada e furada conforme Ue 140x40x12x0,80;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PF-Ue 90x40x12x1,25</t>
        </is>
      </c>
      <c r="B165" s="11" t="inlineStr">
        <is>
          <t>Ue 90x40x12x1,25</t>
        </is>
      </c>
      <c r="C165" s="10" t="inlineStr">
        <is>
          <t>pc</t>
        </is>
      </c>
      <c r="D165" s="14" t="n">
        <v>51</v>
      </c>
      <c r="E165" s="11" t="inlineStr">
        <is>
          <t>peca cortada e furada conforme Ue 90x40x12x1,25;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140x40x12x1,25</t>
        </is>
      </c>
      <c r="B166" s="11" t="inlineStr">
        <is>
          <t>Ue 140x40x12x1,25</t>
        </is>
      </c>
      <c r="C166" s="10" t="inlineStr">
        <is>
          <t>pc</t>
        </is>
      </c>
      <c r="D166" s="14" t="n">
        <v>19</v>
      </c>
      <c r="E166" s="11" t="inlineStr">
        <is>
          <t>peca cortada e furada conforme Ue 140x40x12x1,25;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250x40x12x1,25</t>
        </is>
      </c>
      <c r="B167" s="11" t="inlineStr">
        <is>
          <t>Ue 250x40x12x1,25</t>
        </is>
      </c>
      <c r="C167" s="10" t="inlineStr">
        <is>
          <t>pc</t>
        </is>
      </c>
      <c r="D167" s="14" t="n">
        <v>4</v>
      </c>
      <c r="E167" s="11" t="inlineStr">
        <is>
          <t>peca cortada e furada conforme Ue 250x40x12x1,25;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PF-Fita 38x0,80</t>
        </is>
      </c>
      <c r="B168" s="11" t="inlineStr">
        <is>
          <t>Fita 38x0,80</t>
        </is>
      </c>
      <c r="C168" s="10" t="inlineStr">
        <is>
          <t>pc</t>
        </is>
      </c>
      <c r="D168" s="14" t="n">
        <v>28</v>
      </c>
      <c r="E168" s="11" t="inlineStr">
        <is>
          <t>peca cortada e furada conforme Fita 38x0,80;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PLACA</t>
        </is>
      </c>
      <c r="B169" s="11" t="inlineStr">
        <is>
          <t>Placa (gesso, RU e cimenticia)</t>
        </is>
      </c>
      <c r="C169" s="10" t="inlineStr">
        <is>
          <t>pc</t>
        </is>
      </c>
      <c r="D169" s="14" t="n">
        <v>837</v>
      </c>
      <c r="E169" s="11" t="inlineStr">
        <is>
          <t>placa inteira, por formato — rota alternativa a compra por m2; formatos: 1200 x 2400, 1200 x 25000, 600 x 1250</t>
        </is>
      </c>
      <c r="F169" s="10" t="inlineStr">
        <is>
          <t>NBR 15758</t>
        </is>
      </c>
    </row>
  </sheetData>
  <autoFilter ref="A3:I153"/>
  <conditionalFormatting sqref="I4:I153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eletrica</t>
        </is>
      </c>
      <c r="B14" s="18" t="n">
        <v>1</v>
      </c>
      <c r="C14" s="10" t="inlineStr">
        <is>
          <t>Schneider / Pial Legrand</t>
        </is>
      </c>
      <c r="D14" s="10" t="inlineStr">
        <is>
          <t>Nacional</t>
        </is>
      </c>
      <c r="E14" s="11" t="inlineStr">
        <is>
          <t>tomada, interruptor e placa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eletrica</t>
        </is>
      </c>
      <c r="B15" s="18" t="n">
        <v>2</v>
      </c>
      <c r="C15" s="10" t="inlineStr">
        <is>
          <t>Steck</t>
        </is>
      </c>
      <c r="D15" s="10" t="inlineStr">
        <is>
          <t>Nacional</t>
        </is>
      </c>
      <c r="E15" s="11" t="inlineStr">
        <is>
          <t>dispositivos e quadros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eletrica</t>
        </is>
      </c>
      <c r="B16" s="18" t="n">
        <v>3</v>
      </c>
      <c r="C16" s="10" t="inlineStr">
        <is>
          <t>WEG</t>
        </is>
      </c>
      <c r="D16" s="10" t="inlineStr">
        <is>
          <t>Nacional</t>
        </is>
      </c>
      <c r="E16" s="11" t="inlineStr">
        <is>
          <t>disjuntor, DR e DPS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eletrica</t>
        </is>
      </c>
      <c r="B17" s="18" t="n">
        <v>4</v>
      </c>
      <c r="C17" s="10" t="inlineStr">
        <is>
          <t>Philips / Osram / Stella</t>
        </is>
      </c>
      <c r="D17" s="10" t="inlineStr">
        <is>
          <t>Nacional</t>
        </is>
      </c>
      <c r="E17" s="11" t="inlineStr">
        <is>
          <t>luminaria LED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eletrica</t>
        </is>
      </c>
      <c r="B18" s="18" t="n">
        <v>5</v>
      </c>
      <c r="C18" s="10" t="inlineStr">
        <is>
          <t>Distribuidores eletricos de Manaus</t>
        </is>
      </c>
      <c r="D18" s="36" t="inlineStr">
        <is>
          <t>Manaus/AM</t>
        </is>
      </c>
      <c r="E18" s="11" t="inlineStr">
        <is>
          <t>material eletrico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fundacao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cimento,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fundacao</t>
        </is>
      </c>
      <c r="B20" s="18" t="n">
        <v>2</v>
      </c>
      <c r="C20" s="10" t="inlineStr">
        <is>
          <t>Loja do Rei Comercio de Material de Construcao</t>
        </is>
      </c>
      <c r="D20" s="36" t="inlineStr">
        <is>
          <t>Manaus/AM</t>
        </is>
      </c>
      <c r="E20" s="11" t="inlineStr">
        <is>
          <t>maior faturamento do setor na praca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fundacao</t>
        </is>
      </c>
      <c r="B21" s="18" t="n">
        <v>3</v>
      </c>
      <c r="C21" s="10" t="inlineStr">
        <is>
          <t>Bacuri Madeiras e Material de Construcao</t>
        </is>
      </c>
      <c r="D21" s="36" t="inlineStr">
        <is>
          <t>Manaus/AM</t>
        </is>
      </c>
      <c r="E21" s="11" t="inlineStr">
        <is>
          <t>insumos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fundacao</t>
        </is>
      </c>
      <c r="B22" s="18" t="n">
        <v>4</v>
      </c>
      <c r="C22" s="10" t="inlineStr">
        <is>
          <t>Concreteiras locais (usinas de Manaus)</t>
        </is>
      </c>
      <c r="D22" s="36" t="inlineStr">
        <is>
          <t>Manaus/AM</t>
        </is>
      </c>
      <c r="E22" s="11" t="inlineStr">
        <is>
          <t>concreto usinado fck 30 com bombeamento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fundacao</t>
        </is>
      </c>
      <c r="B23" s="18" t="n">
        <v>5</v>
      </c>
      <c r="C23" s="10" t="inlineStr">
        <is>
          <t>Gerdau / ArcelorMittal</t>
        </is>
      </c>
      <c r="D23" s="10" t="inlineStr">
        <is>
          <t>Nacional</t>
        </is>
      </c>
      <c r="E23" s="11" t="inlineStr">
        <is>
          <t>aco CA-50 e tela soldada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revestimento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porcelanato, argamassa e rejunte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revestimento</t>
        </is>
      </c>
      <c r="B25" s="18" t="n">
        <v>2</v>
      </c>
      <c r="C25" s="10" t="inlineStr">
        <is>
          <t>Loja do Rei</t>
        </is>
      </c>
      <c r="D25" s="36" t="inlineStr">
        <is>
          <t>Manaus/AM</t>
        </is>
      </c>
      <c r="E25" s="11" t="inlineStr">
        <is>
          <t>revestimento e assentamento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revestimento</t>
        </is>
      </c>
      <c r="B26" s="18" t="n">
        <v>3</v>
      </c>
      <c r="C26" s="10" t="inlineStr">
        <is>
          <t>Bacuri Materiais</t>
        </is>
      </c>
      <c r="D26" s="36" t="inlineStr">
        <is>
          <t>Manaus/AM</t>
        </is>
      </c>
      <c r="E26" s="11" t="inlineStr">
        <is>
          <t>revestimento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revestimento</t>
        </is>
      </c>
      <c r="B27" s="18" t="n">
        <v>4</v>
      </c>
      <c r="C27" s="10" t="inlineStr">
        <is>
          <t>Portobello / Eliane / Portinari</t>
        </is>
      </c>
      <c r="D27" s="10" t="inlineStr">
        <is>
          <t>Nacional</t>
        </is>
      </c>
      <c r="E27" s="11" t="inlineStr">
        <is>
          <t>porcelanato, fabricante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revestimento</t>
        </is>
      </c>
      <c r="B28" s="18" t="n">
        <v>5</v>
      </c>
      <c r="C28" s="10" t="inlineStr">
        <is>
          <t>Quartzolit / Votomassa</t>
        </is>
      </c>
      <c r="D28" s="10" t="inlineStr">
        <is>
          <t>Nacional</t>
        </is>
      </c>
      <c r="E28" s="11" t="inlineStr">
        <is>
          <t>argamassa colante e rejunte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externo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bloco,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externo</t>
        </is>
      </c>
      <c r="B30" s="18" t="n">
        <v>2</v>
      </c>
      <c r="C30" s="10" t="inlineStr">
        <is>
          <t>Loja do Rei</t>
        </is>
      </c>
      <c r="D30" s="36" t="inlineStr">
        <is>
          <t>Manaus/AM</t>
        </is>
      </c>
      <c r="E30" s="11" t="inlineStr">
        <is>
          <t>bloco de concreto estrutural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externo</t>
        </is>
      </c>
      <c r="B31" s="18" t="n">
        <v>3</v>
      </c>
      <c r="C31" s="10" t="inlineStr">
        <is>
          <t>O K Representacao de Material de Construcao</t>
        </is>
      </c>
      <c r="D31" s="36" t="inlineStr">
        <is>
          <t>Manaus/AM</t>
        </is>
      </c>
      <c r="E31" s="11" t="inlineStr">
        <is>
          <t>representacao e distribuicao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externo</t>
        </is>
      </c>
      <c r="B32" s="18" t="n">
        <v>4</v>
      </c>
      <c r="C32" s="10" t="inlineStr">
        <is>
          <t>Portobello / Eliane / Portinari</t>
        </is>
      </c>
      <c r="D32" s="10" t="inlineStr">
        <is>
          <t>Nacional</t>
        </is>
      </c>
      <c r="E32" s="11" t="inlineStr">
        <is>
          <t>porcelanato externo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externo</t>
        </is>
      </c>
      <c r="B33" s="18" t="n">
        <v>5</v>
      </c>
      <c r="C33" s="10" t="inlineStr">
        <is>
          <t>Fabricantes de WPC (deck coextrudado)</t>
        </is>
      </c>
      <c r="D33" s="10" t="inlineStr">
        <is>
          <t>Nacional</t>
        </is>
      </c>
      <c r="E33" s="11" t="inlineStr">
        <is>
          <t>deck de madeira plastica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estrutura</t>
        </is>
      </c>
      <c r="B34" s="18" t="n">
        <v>1</v>
      </c>
      <c r="C34" s="10" t="inlineStr">
        <is>
          <t>Tecnoframe</t>
        </is>
      </c>
      <c r="D34" s="36" t="inlineStr">
        <is>
          <t>Manaus/AM</t>
        </is>
      </c>
      <c r="E34" s="11" t="inlineStr">
        <is>
          <t>perfis LSF, fabricante com atuacao local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estrutura</t>
        </is>
      </c>
      <c r="B35" s="18" t="n">
        <v>2</v>
      </c>
      <c r="C35" s="10" t="inlineStr">
        <is>
          <t>Barbieri do Brasil</t>
        </is>
      </c>
      <c r="D35" s="10" t="inlineStr">
        <is>
          <t>Nacional</t>
        </is>
      </c>
      <c r="E35" s="11" t="inlineStr">
        <is>
          <t>perfis galvanizados LSF e drywall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estrutura</t>
        </is>
      </c>
      <c r="B36" s="18" t="n">
        <v>3</v>
      </c>
      <c r="C36" s="10" t="inlineStr">
        <is>
          <t>Multiperfil</t>
        </is>
      </c>
      <c r="D36" s="10" t="inlineStr">
        <is>
          <t>Nacional</t>
        </is>
      </c>
      <c r="E36" s="11" t="inlineStr">
        <is>
          <t>perfis LSF, venda por distribuidor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estrutura</t>
        </is>
      </c>
      <c r="B37" s="18" t="n">
        <v>4</v>
      </c>
      <c r="C37" s="10" t="inlineStr">
        <is>
          <t>Deville Kerr</t>
        </is>
      </c>
      <c r="D37" s="10" t="inlineStr">
        <is>
          <t>Nacional</t>
        </is>
      </c>
      <c r="E37" s="11" t="inlineStr">
        <is>
          <t>perfis LSF direto de fabrica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estrutura</t>
        </is>
      </c>
      <c r="B38" s="18" t="n">
        <v>5</v>
      </c>
      <c r="C38" s="10" t="inlineStr">
        <is>
          <t>Alge Steel / Alge Metalurgica</t>
        </is>
      </c>
      <c r="D38" s="10" t="inlineStr">
        <is>
          <t>Nacional</t>
        </is>
      </c>
      <c r="E38" s="11" t="inlineStr">
        <is>
          <t>perfis steel frame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10" t="inlineStr">
        <is>
          <t>estrutura</t>
        </is>
      </c>
      <c r="B39" s="18" t="n">
        <v>6</v>
      </c>
      <c r="C39" s="10" t="inlineStr">
        <is>
          <t>MPS Steel</t>
        </is>
      </c>
      <c r="D39" s="10" t="inlineStr">
        <is>
          <t>Nacional</t>
        </is>
      </c>
      <c r="E39" s="11" t="inlineStr">
        <is>
          <t>fabricacao e fornecimento de perfis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9" t="inlineStr">
        <is>
          <t>fachada</t>
        </is>
      </c>
      <c r="B40" s="18" t="n">
        <v>1</v>
      </c>
      <c r="C40" s="10" t="inlineStr">
        <is>
          <t>Metalurgica Aluminova</t>
        </is>
      </c>
      <c r="D40" s="36" t="inlineStr">
        <is>
          <t>Manaus/AM</t>
        </is>
      </c>
      <c r="E40" s="11" t="inlineStr">
        <is>
          <t>ripado e brise em aluminio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fachada</t>
        </is>
      </c>
      <c r="B41" s="18" t="n">
        <v>2</v>
      </c>
      <c r="C41" s="10" t="inlineStr">
        <is>
          <t>Alubrasil / Hydro</t>
        </is>
      </c>
      <c r="D41" s="10" t="inlineStr">
        <is>
          <t>Nacional</t>
        </is>
      </c>
      <c r="E41" s="11" t="inlineStr">
        <is>
          <t>perfil de aluminio extrudado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fachada</t>
        </is>
      </c>
      <c r="B42" s="18" t="n">
        <v>3</v>
      </c>
      <c r="C42" s="10" t="inlineStr">
        <is>
          <t>Fabricantes de brise movel</t>
        </is>
      </c>
      <c r="D42" s="10" t="inlineStr">
        <is>
          <t>Nacional</t>
        </is>
      </c>
      <c r="E42" s="11" t="inlineStr">
        <is>
          <t>mecanismo e guia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fachada</t>
        </is>
      </c>
      <c r="B43" s="18" t="n">
        <v>4</v>
      </c>
      <c r="C43" s="10" t="inlineStr">
        <is>
          <t>Serralherias de Manaus</t>
        </is>
      </c>
      <c r="D43" s="36" t="inlineStr">
        <is>
          <t>Manaus/AM</t>
        </is>
      </c>
      <c r="E43" s="11" t="inlineStr">
        <is>
          <t>montagem e fixacao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fachada</t>
        </is>
      </c>
      <c r="B44" s="18" t="n">
        <v>5</v>
      </c>
      <c r="C44" s="10" t="inlineStr">
        <is>
          <t>Esquadrias Alufynestra</t>
        </is>
      </c>
      <c r="D44" s="36" t="inlineStr">
        <is>
          <t>Manaus/AM</t>
        </is>
      </c>
      <c r="E44" s="11" t="inlineStr">
        <is>
          <t>perfis e acabamento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marcenaria</t>
        </is>
      </c>
      <c r="B45" s="18" t="n">
        <v>1</v>
      </c>
      <c r="C45" s="10" t="inlineStr">
        <is>
          <t>Marcenarias de Manaus</t>
        </is>
      </c>
      <c r="D45" s="36" t="inlineStr">
        <is>
          <t>Manaus/AM</t>
        </is>
      </c>
      <c r="E45" s="11" t="inlineStr">
        <is>
          <t>movel sob medida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marcenaria</t>
        </is>
      </c>
      <c r="B46" s="18" t="n">
        <v>2</v>
      </c>
      <c r="C46" s="10" t="inlineStr">
        <is>
          <t>Todeschini / Dell Anno</t>
        </is>
      </c>
      <c r="D46" s="10" t="inlineStr">
        <is>
          <t>Nacional</t>
        </is>
      </c>
      <c r="E46" s="11" t="inlineStr">
        <is>
          <t>movel planejado, rede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marcenaria</t>
        </is>
      </c>
      <c r="B47" s="18" t="n">
        <v>3</v>
      </c>
      <c r="C47" s="10" t="inlineStr">
        <is>
          <t>Italinea / Favorita</t>
        </is>
      </c>
      <c r="D47" s="10" t="inlineStr">
        <is>
          <t>Nacional</t>
        </is>
      </c>
      <c r="E47" s="11" t="inlineStr">
        <is>
          <t>movel planejado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marcenaria</t>
        </is>
      </c>
      <c r="B48" s="18" t="n">
        <v>4</v>
      </c>
      <c r="C48" s="10" t="inlineStr">
        <is>
          <t>Marmorarias de Manaus</t>
        </is>
      </c>
      <c r="D48" s="36" t="inlineStr">
        <is>
          <t>Manaus/AM</t>
        </is>
      </c>
      <c r="E48" s="11" t="inlineStr">
        <is>
          <t>tampo em quartzo e granito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marcenaria</t>
        </is>
      </c>
      <c r="B49" s="18" t="n">
        <v>5</v>
      </c>
      <c r="C49" s="10" t="inlineStr">
        <is>
          <t>Duratex / Guararapes</t>
        </is>
      </c>
      <c r="D49" s="10" t="inlineStr">
        <is>
          <t>Nacional</t>
        </is>
      </c>
      <c r="E49" s="11" t="inlineStr">
        <is>
          <t>MDF, fabricante de chapa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servico</t>
        </is>
      </c>
      <c r="B50" s="18" t="n">
        <v>1</v>
      </c>
      <c r="C50" s="10" t="inlineStr">
        <is>
          <t>Tecnoframe</t>
        </is>
      </c>
      <c r="D50" s="36" t="inlineStr">
        <is>
          <t>Manaus/AM</t>
        </is>
      </c>
      <c r="E50" s="11" t="inlineStr">
        <is>
          <t>fornecimento com montagem, praca local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servico</t>
        </is>
      </c>
      <c r="B51" s="18" t="n">
        <v>2</v>
      </c>
      <c r="C51" s="10" t="inlineStr">
        <is>
          <t>Barbieri do Brasil</t>
        </is>
      </c>
      <c r="D51" s="10" t="inlineStr">
        <is>
          <t>Nacional</t>
        </is>
      </c>
      <c r="E51" s="11" t="inlineStr">
        <is>
          <t>fornecimento; montagem por rede credenciada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servico</t>
        </is>
      </c>
      <c r="B52" s="18" t="n">
        <v>3</v>
      </c>
      <c r="C52" s="10" t="inlineStr">
        <is>
          <t>Naframe</t>
        </is>
      </c>
      <c r="D52" s="10" t="inlineStr">
        <is>
          <t>Nacional</t>
        </is>
      </c>
      <c r="E52" s="11" t="inlineStr">
        <is>
          <t>projeto, fornecimento e montagem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servico</t>
        </is>
      </c>
      <c r="B53" s="18" t="n">
        <v>4</v>
      </c>
      <c r="C53" s="10" t="inlineStr">
        <is>
          <t>MPS Steel</t>
        </is>
      </c>
      <c r="D53" s="10" t="inlineStr">
        <is>
          <t>Nacional</t>
        </is>
      </c>
      <c r="E53" s="11" t="inlineStr">
        <is>
          <t>fornecimento e montagem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servico</t>
        </is>
      </c>
      <c r="B54" s="18" t="n">
        <v>5</v>
      </c>
      <c r="C54" s="10" t="inlineStr">
        <is>
          <t>Alge Steel</t>
        </is>
      </c>
      <c r="D54" s="10" t="inlineStr">
        <is>
          <t>Nacional</t>
        </is>
      </c>
      <c r="E54" s="11" t="inlineStr">
        <is>
          <t>fornecimento; montagem por parceiro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instalacao</t>
        </is>
      </c>
      <c r="B55" s="18" t="n">
        <v>1</v>
      </c>
      <c r="C55" s="10" t="inlineStr">
        <is>
          <t>Du Norte Comercio</t>
        </is>
      </c>
      <c r="D55" s="36" t="inlineStr">
        <is>
          <t>Manaus/AM</t>
        </is>
      </c>
      <c r="E55" s="11" t="inlineStr">
        <is>
          <t>tubo, conexao e eletroduto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instalacao</t>
        </is>
      </c>
      <c r="B56" s="18" t="n">
        <v>2</v>
      </c>
      <c r="C56" s="10" t="inlineStr">
        <is>
          <t>Tigre</t>
        </is>
      </c>
      <c r="D56" s="10" t="inlineStr">
        <is>
          <t>Nacional</t>
        </is>
      </c>
      <c r="E56" s="11" t="inlineStr">
        <is>
          <t>tubos e conexoes PVC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instalacao</t>
        </is>
      </c>
      <c r="B57" s="18" t="n">
        <v>3</v>
      </c>
      <c r="C57" s="10" t="inlineStr">
        <is>
          <t>Amanco / Wavin</t>
        </is>
      </c>
      <c r="D57" s="10" t="inlineStr">
        <is>
          <t>Nacional</t>
        </is>
      </c>
      <c r="E57" s="11" t="inlineStr">
        <is>
          <t>tubos e conexoes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instalacao</t>
        </is>
      </c>
      <c r="B58" s="18" t="n">
        <v>4</v>
      </c>
      <c r="C58" s="10" t="inlineStr">
        <is>
          <t>Prysmian / Cobrecom / Sil</t>
        </is>
      </c>
      <c r="D58" s="10" t="inlineStr">
        <is>
          <t>Nacional</t>
        </is>
      </c>
      <c r="E58" s="11" t="inlineStr">
        <is>
          <t>cabo de cobre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instalacao</t>
        </is>
      </c>
      <c r="B59" s="18" t="n">
        <v>5</v>
      </c>
      <c r="C59" s="10" t="inlineStr">
        <is>
          <t>Schneider / Siemens / Steck</t>
        </is>
      </c>
      <c r="D59" s="10" t="inlineStr">
        <is>
          <t>Nacional</t>
        </is>
      </c>
      <c r="E59" s="11" t="inlineStr">
        <is>
          <t>disjuntor e quadro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pintura</t>
        </is>
      </c>
      <c r="B60" s="18" t="n">
        <v>1</v>
      </c>
      <c r="C60" s="10" t="inlineStr">
        <is>
          <t>Empreiteiras de pintura de Manaus</t>
        </is>
      </c>
      <c r="D60" s="36" t="inlineStr">
        <is>
          <t>Manaus/AM</t>
        </is>
      </c>
      <c r="E60" s="11" t="inlineStr">
        <is>
          <t>material e mao de obra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pintura</t>
        </is>
      </c>
      <c r="B61" s="18" t="n">
        <v>2</v>
      </c>
      <c r="C61" s="10" t="inlineStr">
        <is>
          <t>Suvinil / BASF</t>
        </is>
      </c>
      <c r="D61" s="10" t="inlineStr">
        <is>
          <t>Nacional</t>
        </is>
      </c>
      <c r="E61" s="11" t="inlineStr">
        <is>
          <t>tinta, fabricante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pintura</t>
        </is>
      </c>
      <c r="B62" s="18" t="n">
        <v>3</v>
      </c>
      <c r="C62" s="10" t="inlineStr">
        <is>
          <t>Coral / AkzoNobel</t>
        </is>
      </c>
      <c r="D62" s="10" t="inlineStr">
        <is>
          <t>Nacional</t>
        </is>
      </c>
      <c r="E62" s="11" t="inlineStr">
        <is>
          <t>tinta, fabricante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pintura</t>
        </is>
      </c>
      <c r="B63" s="18" t="n">
        <v>4</v>
      </c>
      <c r="C63" s="10" t="inlineStr">
        <is>
          <t>Sherwin-Williams</t>
        </is>
      </c>
      <c r="D63" s="10" t="inlineStr">
        <is>
          <t>Nacional</t>
        </is>
      </c>
      <c r="E63" s="11" t="inlineStr">
        <is>
          <t>tinta, fabricante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pintura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tinta e material de pintura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equipamentos</t>
        </is>
      </c>
      <c r="B65" s="18" t="n">
        <v>1</v>
      </c>
      <c r="C65" s="10" t="inlineStr">
        <is>
          <t>Lojas de climatizacao de Manaus</t>
        </is>
      </c>
      <c r="D65" s="36" t="inlineStr">
        <is>
          <t>Manaus/AM</t>
        </is>
      </c>
      <c r="E65" s="11" t="inlineStr">
        <is>
          <t>split com instalacao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equipamentos</t>
        </is>
      </c>
      <c r="B66" s="18" t="n">
        <v>2</v>
      </c>
      <c r="C66" s="10" t="inlineStr">
        <is>
          <t>LG / Samsung / Daikin</t>
        </is>
      </c>
      <c r="D66" s="10" t="inlineStr">
        <is>
          <t>Nacional</t>
        </is>
      </c>
      <c r="E66" s="11" t="inlineStr">
        <is>
          <t>split inverter,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equipamentos</t>
        </is>
      </c>
      <c r="B67" s="18" t="n">
        <v>3</v>
      </c>
      <c r="C67" s="10" t="inlineStr">
        <is>
          <t>Midea / Elgin</t>
        </is>
      </c>
      <c r="D67" s="10" t="inlineStr">
        <is>
          <t>Nacional</t>
        </is>
      </c>
      <c r="E67" s="11" t="inlineStr">
        <is>
          <t>split inverter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equipamentos</t>
        </is>
      </c>
      <c r="B68" s="18" t="n">
        <v>4</v>
      </c>
      <c r="C68" s="10" t="inlineStr">
        <is>
          <t>Jacuzzi / Sodramar</t>
        </is>
      </c>
      <c r="D68" s="10" t="inlineStr">
        <is>
          <t>Nacional</t>
        </is>
      </c>
      <c r="E68" s="11" t="inlineStr">
        <is>
          <t>bomba e filtro de piscina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equipamentos</t>
        </is>
      </c>
      <c r="B69" s="18" t="n">
        <v>5</v>
      </c>
      <c r="C69" s="10" t="inlineStr">
        <is>
          <t>PPA / Garen / Rossi</t>
        </is>
      </c>
      <c r="D69" s="10" t="inlineStr">
        <is>
          <t>Nacional</t>
        </is>
      </c>
      <c r="E69" s="11" t="inlineStr">
        <is>
          <t>automatizador de portao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loucas</t>
        </is>
      </c>
      <c r="B70" s="18" t="n">
        <v>1</v>
      </c>
      <c r="C70" s="10" t="inlineStr">
        <is>
          <t>Deca / Duratex</t>
        </is>
      </c>
      <c r="D70" s="10" t="inlineStr">
        <is>
          <t>Nacional</t>
        </is>
      </c>
      <c r="E70" s="11" t="inlineStr">
        <is>
          <t>louca e metal, fabricante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loucas</t>
        </is>
      </c>
      <c r="B71" s="18" t="n">
        <v>2</v>
      </c>
      <c r="C71" s="10" t="inlineStr">
        <is>
          <t>Docol</t>
        </is>
      </c>
      <c r="D71" s="10" t="inlineStr">
        <is>
          <t>Nacional</t>
        </is>
      </c>
      <c r="E71" s="11" t="inlineStr">
        <is>
          <t>metal sanitario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loucas</t>
        </is>
      </c>
      <c r="B72" s="18" t="n">
        <v>3</v>
      </c>
      <c r="C72" s="10" t="inlineStr">
        <is>
          <t>Roca / Celite</t>
        </is>
      </c>
      <c r="D72" s="10" t="inlineStr">
        <is>
          <t>Nacional</t>
        </is>
      </c>
      <c r="E72" s="11" t="inlineStr">
        <is>
          <t>louca sanitaria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loucas</t>
        </is>
      </c>
      <c r="B73" s="18" t="n">
        <v>4</v>
      </c>
      <c r="C73" s="10" t="inlineStr">
        <is>
          <t>Lojas de acabamento de Manaus</t>
        </is>
      </c>
      <c r="D73" s="36" t="inlineStr">
        <is>
          <t>Manaus/AM</t>
        </is>
      </c>
      <c r="E73" s="11" t="inlineStr">
        <is>
          <t>louca e metal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loucas</t>
        </is>
      </c>
      <c r="B74" s="18" t="n">
        <v>5</v>
      </c>
      <c r="C74" s="10" t="inlineStr">
        <is>
          <t>Du Norte Comercio</t>
        </is>
      </c>
      <c r="D74" s="36" t="inlineStr">
        <is>
          <t>Manaus/AM</t>
        </is>
      </c>
      <c r="E74" s="11" t="inlineStr">
        <is>
          <t>louca, metal e acessorio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</t>
        </is>
      </c>
      <c r="B11" s="43" t="inlineStr">
        <is>
          <t>Certidao oficial do SU16 (CAMT, taxa de ocupacao, gabarito)</t>
        </is>
      </c>
      <c r="C11" s="11" t="inlineStr">
        <is>
          <t>Lei 1.838/2014</t>
        </is>
      </c>
      <c r="D11" s="18" t="inlineStr">
        <is>
          <t>obra</t>
        </is>
      </c>
      <c r="E11" s="11" t="inlineStr">
        <is>
          <t>Condiciona toda a implantacao</t>
        </is>
      </c>
    </row>
    <row r="12">
      <c r="A12" s="18" t="inlineStr">
        <is>
          <t>3</t>
        </is>
      </c>
      <c r="B12" s="43" t="inlineStr">
        <is>
          <t>Calculo estrutural do hibrido LSF + laminado, com ART</t>
        </is>
      </c>
      <c r="C12" s="11" t="inlineStr">
        <is>
          <t>NBR 8800 / 14762</t>
        </is>
      </c>
      <c r="D12" s="18" t="inlineStr">
        <is>
          <t>fabricacao</t>
        </is>
      </c>
      <c r="E12" s="11" t="inlineStr">
        <is>
          <t>Estrutura e balanco; inclui o apoio da caixa d'agua. O pre-dimensionamento por flecha nao substitui verificacao de flambagem lateral</t>
        </is>
      </c>
    </row>
    <row r="13">
      <c r="A13" s="18" t="inlineStr">
        <is>
          <t>6</t>
        </is>
      </c>
      <c r="B13" s="43" t="inlineStr">
        <is>
          <t>Regulamento especifico do condominio</t>
        </is>
      </c>
      <c r="C13" s="11" t="inlineStr">
        <is>
          <t>—</t>
        </is>
      </c>
      <c r="D13" s="18" t="inlineStr">
        <is>
          <t>obra</t>
        </is>
      </c>
      <c r="E13" s="11" t="inlineStr">
        <is>
          <t>Fachada, muros, recuos e especie vegetal</t>
        </is>
      </c>
    </row>
    <row r="14">
      <c r="A14" s="18" t="inlineStr">
        <is>
          <t>8</t>
        </is>
      </c>
      <c r="B14" s="43" t="inlineStr">
        <is>
          <t>Nesting codificado dos paineis LSF</t>
        </is>
      </c>
      <c r="C14" s="11" t="inlineStr">
        <is>
          <t>fabricante</t>
        </is>
      </c>
      <c r="D14" s="18" t="inlineStr">
        <is>
          <t>fabricacao</t>
        </is>
      </c>
      <c r="E14" s="11" t="inlineStr">
        <is>
          <t>A paginacao atual e de estudo, nao de corte</t>
        </is>
      </c>
    </row>
    <row r="15">
      <c r="A15" s="18" t="inlineStr">
        <is>
          <t>15</t>
        </is>
      </c>
      <c r="B15" s="43" t="inlineStr">
        <is>
          <t>Dados de sitio da energia: raios, sol e tarifa</t>
        </is>
      </c>
      <c r="C15" s="11" t="inlineStr">
        <is>
          <t>NBR 5419-2 (Ng) · Atlas Brasileiro de Energia Solar (HSP) · ANEEL/Amazonas Energia (tarifa)</t>
        </is>
      </c>
      <c r="D15" s="18" t="inlineStr"/>
      <c r="E15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6">
      <c r="A16" s="18" t="inlineStr">
        <is>
          <t>14</t>
        </is>
      </c>
      <c r="B16" s="43" t="inlineStr">
        <is>
          <t>Rota de conformidade termica da parede externa</t>
        </is>
      </c>
      <c r="C16" s="11" t="inlineStr">
        <is>
          <t>NBR 15220-3 (tabela da ZB8) x NBR 15575-4 (desempenho)</t>
        </is>
      </c>
      <c r="D16" s="18" t="inlineStr">
        <is>
          <t>aprovacao</t>
        </is>
      </c>
      <c r="E16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7">
      <c r="A17" s="18" t="inlineStr">
        <is>
          <t>12</t>
        </is>
      </c>
      <c r="B17" s="43" t="inlineStr">
        <is>
          <t>Cotacao dos materiais: 100 % dos precos sao (H)</t>
        </is>
      </c>
      <c r="C17" s="11" t="inlineStr">
        <is>
          <t>Lei 14.133 art. 23 (parametro de 3 propostas)</t>
        </is>
      </c>
      <c r="D17" s="18" t="inlineStr">
        <is>
          <t>contrato</t>
        </is>
      </c>
      <c r="E17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2026-09-21T00:16:18Z</dcterms:created>
  <dcterms:modified xsi:type="dcterms:W3CDTF">2026-09-21T00:16:18Z</dcterms:modified>
</cp:coreProperties>
</file>